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_xlnm.Print_Titles" localSheetId="0">'Sheet1'!$1:$9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E+00"/>
    <numFmt numFmtId="165" formatCode="0.00000"/>
    <numFmt numFmtId="166" formatCode="0.000000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b val="1"/>
    </font>
    <font>
      <b val="1"/>
      <color rgb="001F4E79"/>
      <sz val="12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86AB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C65911"/>
      </patternFill>
    </fill>
    <fill>
      <patternFill patternType="solid">
        <fgColor rgb="00FCE4D6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2" borderId="0" pivotButton="0" quotePrefix="0" xfId="0"/>
    <xf numFmtId="0" fontId="1" fillId="6" borderId="1" applyAlignment="1" pivotButton="0" quotePrefix="0" xfId="0">
      <alignment horizontal="center" wrapText="1"/>
    </xf>
    <xf numFmtId="0" fontId="1" fillId="3" borderId="1" applyAlignment="1" pivotButton="0" quotePrefix="0" xfId="0">
      <alignment horizontal="center" wrapText="1"/>
    </xf>
    <xf numFmtId="11" fontId="0" fillId="0" borderId="0" pivotButton="0" quotePrefix="0" xfId="0"/>
    <xf numFmtId="0" fontId="2" fillId="4" borderId="1" applyAlignment="1" pivotButton="0" quotePrefix="0" xfId="0">
      <alignment horizontal="center"/>
    </xf>
    <xf numFmtId="2" fontId="0" fillId="4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0" fillId="5" borderId="0" applyAlignment="1" pivotButton="0" quotePrefix="0" xfId="0">
      <alignment vertical="center" wrapText="1"/>
    </xf>
    <xf numFmtId="164" fontId="0" fillId="4" borderId="1" applyAlignment="1" pivotButton="0" quotePrefix="0" xfId="0">
      <alignment horizontal="center"/>
    </xf>
    <xf numFmtId="0" fontId="0" fillId="5" borderId="1" pivotButton="0" quotePrefix="0" xfId="0"/>
    <xf numFmtId="11" fontId="0" fillId="5" borderId="1" pivotButton="0" quotePrefix="0" xfId="0"/>
    <xf numFmtId="165" fontId="0" fillId="0" borderId="1" applyAlignment="1" pivotButton="0" quotePrefix="0" xfId="0">
      <alignment horizontal="center"/>
    </xf>
    <xf numFmtId="166" fontId="0" fillId="7" borderId="1" applyAlignment="1" pivotButton="0" quotePrefix="0" xfId="0">
      <alignment horizontal="center"/>
    </xf>
    <xf numFmtId="166" fontId="0" fillId="8" borderId="1" applyAlignment="1" pivotButton="0" quotePrefix="0" xfId="0">
      <alignment horizontal="center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Заряд катушки Iз(t), Uз(t)</a:t>
            </a:r>
          </a:p>
        </rich>
      </tx>
    </title>
    <plotArea>
      <scatterChart>
        <scatterStyle val="smoothMarker"/>
        <ser>
          <idx val="0"/>
          <order val="0"/>
          <tx>
            <strRef>
              <f>'Sheet1'!B9</f>
            </strRef>
          </tx>
          <spPr>
            <a:ln xmlns:a="http://schemas.openxmlformats.org/drawingml/2006/main" w="1905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'Sheet1'!$A$10:$A$60</f>
              <numCache>
                <formatCode>General</formatCode>
                <ptCount val="51"/>
                <pt idx="0">
                  <v>0</v>
                </pt>
                <pt idx="1">
                  <v>5e-05</v>
                </pt>
                <pt idx="2">
                  <v>0.0001</v>
                </pt>
                <pt idx="3">
                  <v>0.00015</v>
                </pt>
                <pt idx="4">
                  <v>0.0002</v>
                </pt>
                <pt idx="5">
                  <v>0.00025</v>
                </pt>
                <pt idx="6">
                  <v>0.0003</v>
                </pt>
                <pt idx="7">
                  <v>0.00035</v>
                </pt>
                <pt idx="8">
                  <v>0.0004</v>
                </pt>
                <pt idx="9">
                  <v>0.00045</v>
                </pt>
                <pt idx="10">
                  <v>0.0005</v>
                </pt>
                <pt idx="11">
                  <v>0.00055</v>
                </pt>
                <pt idx="12">
                  <v>0.0006</v>
                </pt>
                <pt idx="13">
                  <v>0.00065</v>
                </pt>
                <pt idx="14">
                  <v>0.0007</v>
                </pt>
                <pt idx="15">
                  <v>0.00075</v>
                </pt>
                <pt idx="16">
                  <v>0.0008</v>
                </pt>
                <pt idx="17">
                  <v>0.00085</v>
                </pt>
                <pt idx="18">
                  <v>0.0009</v>
                </pt>
                <pt idx="19">
                  <v>0.00095</v>
                </pt>
                <pt idx="20">
                  <v>0.001</v>
                </pt>
                <pt idx="21">
                  <v>0.00105</v>
                </pt>
                <pt idx="22">
                  <v>0.0011</v>
                </pt>
                <pt idx="23">
                  <v>0.00115</v>
                </pt>
                <pt idx="24">
                  <v>0.0012</v>
                </pt>
                <pt idx="25">
                  <v>0.00125</v>
                </pt>
                <pt idx="26">
                  <v>0.0013</v>
                </pt>
                <pt idx="27">
                  <v>0.00135</v>
                </pt>
                <pt idx="28">
                  <v>0.0014</v>
                </pt>
                <pt idx="29">
                  <v>0.00145</v>
                </pt>
                <pt idx="30">
                  <v>0.0015</v>
                </pt>
                <pt idx="31">
                  <v>0.00155</v>
                </pt>
                <pt idx="32">
                  <v>0.0016</v>
                </pt>
                <pt idx="33">
                  <v>0.00165</v>
                </pt>
                <pt idx="34">
                  <v>0.0017</v>
                </pt>
                <pt idx="35">
                  <v>0.00175</v>
                </pt>
                <pt idx="36">
                  <v>0.0018</v>
                </pt>
                <pt idx="37">
                  <v>0.00185</v>
                </pt>
                <pt idx="38">
                  <v>0.0019</v>
                </pt>
                <pt idx="39">
                  <v>0.00195</v>
                </pt>
                <pt idx="40">
                  <v>0.002</v>
                </pt>
                <pt idx="41">
                  <v>0.00205</v>
                </pt>
                <pt idx="42">
                  <v>0.0021</v>
                </pt>
                <pt idx="43">
                  <v>0.00215</v>
                </pt>
                <pt idx="44">
                  <v>0.0022</v>
                </pt>
                <pt idx="45">
                  <v>0.00225</v>
                </pt>
                <pt idx="46">
                  <v>0.0023</v>
                </pt>
                <pt idx="47">
                  <v>0.00235</v>
                </pt>
                <pt idx="48">
                  <v>0.0024</v>
                </pt>
                <pt idx="49">
                  <v>0.00245</v>
                </pt>
                <pt idx="50">
                  <v>0.0025</v>
                </pt>
              </numCache>
            </numRef>
          </xVal>
          <yVal>
            <numRef>
              <f>'Sheet1'!$B$10:$B$60</f>
              <numCache>
                <formatCode>General</formatCode>
                <ptCount val="51"/>
                <pt idx="0">
                  <v>0</v>
                </pt>
                <pt idx="1">
                  <v>0.349750524699881</v>
                </pt>
                <pt idx="2">
                  <v>0.56188494118094</v>
                </pt>
                <pt idx="3">
                  <v>0.690550968756951</v>
                </pt>
                <pt idx="4">
                  <v>0.768590859345233</v>
                </pt>
                <pt idx="5">
                  <v>0.815924445667646</v>
                </pt>
                <pt idx="6">
                  <v>0.844633717006343</v>
                </pt>
                <pt idx="7">
                  <v>0.862046770291272</v>
                </pt>
                <pt idx="8">
                  <v>0.872608320987792</v>
                </pt>
                <pt idx="9">
                  <v>0.87901422529934</v>
                </pt>
                <pt idx="10">
                  <v>0.88289960266748</v>
                </pt>
                <pt idx="11">
                  <v>0.88525620316581</v>
                </pt>
                <pt idx="12">
                  <v>0.886685553620741</v>
                </pt>
                <pt idx="13">
                  <v>0.887552498495131</v>
                </pt>
                <pt idx="14">
                  <v>0.888078327141729</v>
                </pt>
                <pt idx="15">
                  <v>0.888397258337646</v>
                </pt>
                <pt idx="16">
                  <v>0.888590699886309</v>
                </pt>
                <pt idx="17">
                  <v>0.888708028116435</v>
                </pt>
                <pt idx="18">
                  <v>0.888779191285256</v>
                </pt>
                <pt idx="19">
                  <v>0.888822353928989</v>
                </pt>
                <pt idx="20">
                  <v>0.888848533395767</v>
                </pt>
                <pt idx="21">
                  <v>0.888864412045022</v>
                </pt>
                <pt idx="22">
                  <v>0.888874042932631</v>
                </pt>
                <pt idx="23">
                  <v>0.888879884361246</v>
                </pt>
                <pt idx="24">
                  <v>0.888883427366797</v>
                </pt>
                <pt idx="25">
                  <v>0.888885576308291</v>
                </pt>
                <pt idx="26">
                  <v>0.888886879707194</v>
                </pt>
                <pt idx="27">
                  <v>0.88888767025859</v>
                </pt>
                <pt idx="28">
                  <v>0.88888814975225</v>
                </pt>
                <pt idx="29">
                  <v>0.888888440579855</v>
                </pt>
                <pt idx="30">
                  <v>0.888888616975715</v>
                </pt>
                <pt idx="31">
                  <v>0.888888723965212</v>
                </pt>
                <pt idx="32">
                  <v>0.888888788857622</v>
                </pt>
                <pt idx="33">
                  <v>0.888888828216859</v>
                </pt>
                <pt idx="34">
                  <v>0.888888852089442</v>
                </pt>
                <pt idx="35">
                  <v>0.888888866568896</v>
                </pt>
                <pt idx="36">
                  <v>0.888888875351129</v>
                </pt>
                <pt idx="37">
                  <v>0.888888880677822</v>
                </pt>
                <pt idx="38">
                  <v>0.888888883908625</v>
                </pt>
                <pt idx="39">
                  <v>0.888888885868206</v>
                </pt>
                <pt idx="40">
                  <v>0.888888887056752</v>
                </pt>
                <pt idx="41">
                  <v>0.888888887777642</v>
                </pt>
                <pt idx="42">
                  <v>0.888888888214884</v>
                </pt>
                <pt idx="43">
                  <v>0.888888888480084</v>
                </pt>
                <pt idx="44">
                  <v>0.888888888640936</v>
                </pt>
                <pt idx="45">
                  <v>0.888888888738498</v>
                </pt>
                <pt idx="46">
                  <v>0.888888888797672</v>
                </pt>
                <pt idx="47">
                  <v>0.888888888833563</v>
                </pt>
                <pt idx="48">
                  <v>0.888888888855332</v>
                </pt>
                <pt idx="49">
                  <v>0.888888888868536</v>
                </pt>
                <pt idx="50">
                  <v>0.888888888876544</v>
                </pt>
              </numCache>
            </numRef>
          </yVal>
          <smooth val="1"/>
        </ser>
        <axId val="10"/>
        <axId val="100"/>
      </scatterChart>
      <scatterChart>
        <scatterStyle val="smoothMarker"/>
        <ser>
          <idx val="1"/>
          <order val="1"/>
          <tx>
            <strRef>
              <f>'Sheet1'!C9</f>
            </strRef>
          </tx>
          <spPr>
            <a:ln xmlns:a="http://schemas.openxmlformats.org/drawingml/2006/main" w="19050">
              <a:solidFill>
                <a:srgbClr val="4472C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'Sheet1'!$A$10:$A$60</f>
              <numCache>
                <formatCode>General</formatCode>
                <ptCount val="51"/>
                <pt idx="0">
                  <v>0</v>
                </pt>
                <pt idx="1">
                  <v>5e-05</v>
                </pt>
                <pt idx="2">
                  <v>0.0001</v>
                </pt>
                <pt idx="3">
                  <v>0.00015</v>
                </pt>
                <pt idx="4">
                  <v>0.0002</v>
                </pt>
                <pt idx="5">
                  <v>0.00025</v>
                </pt>
                <pt idx="6">
                  <v>0.0003</v>
                </pt>
                <pt idx="7">
                  <v>0.00035</v>
                </pt>
                <pt idx="8">
                  <v>0.0004</v>
                </pt>
                <pt idx="9">
                  <v>0.00045</v>
                </pt>
                <pt idx="10">
                  <v>0.0005</v>
                </pt>
                <pt idx="11">
                  <v>0.00055</v>
                </pt>
                <pt idx="12">
                  <v>0.0006</v>
                </pt>
                <pt idx="13">
                  <v>0.00065</v>
                </pt>
                <pt idx="14">
                  <v>0.0007</v>
                </pt>
                <pt idx="15">
                  <v>0.00075</v>
                </pt>
                <pt idx="16">
                  <v>0.0008</v>
                </pt>
                <pt idx="17">
                  <v>0.00085</v>
                </pt>
                <pt idx="18">
                  <v>0.0009</v>
                </pt>
                <pt idx="19">
                  <v>0.00095</v>
                </pt>
                <pt idx="20">
                  <v>0.001</v>
                </pt>
                <pt idx="21">
                  <v>0.00105</v>
                </pt>
                <pt idx="22">
                  <v>0.0011</v>
                </pt>
                <pt idx="23">
                  <v>0.00115</v>
                </pt>
                <pt idx="24">
                  <v>0.0012</v>
                </pt>
                <pt idx="25">
                  <v>0.00125</v>
                </pt>
                <pt idx="26">
                  <v>0.0013</v>
                </pt>
                <pt idx="27">
                  <v>0.00135</v>
                </pt>
                <pt idx="28">
                  <v>0.0014</v>
                </pt>
                <pt idx="29">
                  <v>0.00145</v>
                </pt>
                <pt idx="30">
                  <v>0.0015</v>
                </pt>
                <pt idx="31">
                  <v>0.00155</v>
                </pt>
                <pt idx="32">
                  <v>0.0016</v>
                </pt>
                <pt idx="33">
                  <v>0.00165</v>
                </pt>
                <pt idx="34">
                  <v>0.0017</v>
                </pt>
                <pt idx="35">
                  <v>0.00175</v>
                </pt>
                <pt idx="36">
                  <v>0.0018</v>
                </pt>
                <pt idx="37">
                  <v>0.00185</v>
                </pt>
                <pt idx="38">
                  <v>0.0019</v>
                </pt>
                <pt idx="39">
                  <v>0.00195</v>
                </pt>
                <pt idx="40">
                  <v>0.002</v>
                </pt>
                <pt idx="41">
                  <v>0.00205</v>
                </pt>
                <pt idx="42">
                  <v>0.0021</v>
                </pt>
                <pt idx="43">
                  <v>0.00215</v>
                </pt>
                <pt idx="44">
                  <v>0.0022</v>
                </pt>
                <pt idx="45">
                  <v>0.00225</v>
                </pt>
                <pt idx="46">
                  <v>0.0023</v>
                </pt>
                <pt idx="47">
                  <v>0.00235</v>
                </pt>
                <pt idx="48">
                  <v>0.0024</v>
                </pt>
                <pt idx="49">
                  <v>0.00245</v>
                </pt>
                <pt idx="50">
                  <v>0.0025</v>
                </pt>
              </numCache>
            </numRef>
          </xVal>
          <yVal>
            <numRef>
              <f>'Sheet1'!$C$10:$C$60</f>
              <numCache>
                <formatCode>General</formatCode>
                <ptCount val="51"/>
                <pt idx="0">
                  <v>8</v>
                </pt>
                <pt idx="1">
                  <v>4.85224527770107</v>
                </pt>
                <pt idx="2">
                  <v>2.94303552937154</v>
                </pt>
                <pt idx="3">
                  <v>1.78504128118744</v>
                </pt>
                <pt idx="4">
                  <v>1.0826822658929</v>
                </pt>
                <pt idx="5">
                  <v>0.65667998899119</v>
                </pt>
                <pt idx="6">
                  <v>0.398296546942911</v>
                </pt>
                <pt idx="7">
                  <v>0.241579067378548</v>
                </pt>
                <pt idx="8">
                  <v>0.146525111109873</v>
                </pt>
                <pt idx="9">
                  <v>0.0888719723059384</v>
                </pt>
                <pt idx="10">
                  <v>0.0539035759926837</v>
                </pt>
                <pt idx="11">
                  <v>0.0326941715077125</v>
                </pt>
                <pt idx="12">
                  <v>0.0198300174133309</v>
                </pt>
                <pt idx="13">
                  <v>0.0120275135438206</v>
                </pt>
                <pt idx="14">
                  <v>0.00729505572443613</v>
                </pt>
                <pt idx="15">
                  <v>0.00442467496118267</v>
                </pt>
                <pt idx="16">
                  <v>0.00268370102322009</v>
                </pt>
                <pt idx="17">
                  <v>0.00162774695208515</v>
                </pt>
                <pt idx="18">
                  <v>0.000987278432693435</v>
                </pt>
                <pt idx="19">
                  <v>0.000598814639101605</v>
                </pt>
                <pt idx="20">
                  <v>0.000363199438099878</v>
                </pt>
                <pt idx="21">
                  <v>0.000220291594797977</v>
                </pt>
                <pt idx="22">
                  <v>0.000133613606321965</v>
                </pt>
                <pt idx="23">
                  <v>8.10407487890457e-05</v>
                </pt>
                <pt idx="24">
                  <v>4.91536988266256e-05</v>
                </pt>
                <pt idx="25">
                  <v>2.98132253766294e-05</v>
                </pt>
                <pt idx="26">
                  <v>1.80826352558484e-05</v>
                </pt>
                <pt idx="27">
                  <v>1.09676726910727e-05</v>
                </pt>
                <pt idx="28">
                  <v>6.65222975282854e-06</v>
                </pt>
                <pt idx="29">
                  <v>4.0347813005431e-06</v>
                </pt>
                <pt idx="30">
                  <v>2.44721856401461e-06</v>
                </pt>
                <pt idx="31">
                  <v>1.48431309009278e-06</v>
                </pt>
                <pt idx="32">
                  <v>9.0028139775407e-07</v>
                </pt>
                <pt idx="33">
                  <v>5.4604827010679e-07</v>
                </pt>
                <pt idx="34">
                  <v>3.31195017502813e-07</v>
                </pt>
                <pt idx="35">
                  <v>2.00879932459519e-07</v>
                </pt>
                <pt idx="36">
                  <v>1.21839837957701e-07</v>
                </pt>
                <pt idx="37">
                  <v>7.38995972957645e-08</v>
                </pt>
                <pt idx="38">
                  <v>4.48223715002981e-08</v>
                </pt>
                <pt idx="39">
                  <v>2.71861425559606e-08</v>
                </pt>
                <pt idx="40">
                  <v>1.64892289795084e-08</v>
                </pt>
                <pt idx="41">
                  <v>1.00012229310939e-08</v>
                </pt>
                <pt idx="42">
                  <v>6.0660483423295e-09</v>
                </pt>
                <pt idx="43">
                  <v>3.67924430292185e-09</v>
                </pt>
                <pt idx="44">
                  <v>2.23157447429513e-09</v>
                </pt>
                <pt idx="45">
                  <v>1.3535183380921e-09</v>
                </pt>
                <pt idx="46">
                  <v>8.20950370536151e-10</v>
                </pt>
                <pt idx="47">
                  <v>4.97931569832621e-10</v>
                </pt>
                <pt idx="48">
                  <v>3.02010763542327e-10</v>
                </pt>
                <pt idx="49">
                  <v>1.83178787651644e-10</v>
                </pt>
                <pt idx="50">
                  <v>1.11103550919712e-10</v>
                </pt>
              </numCache>
            </numRef>
          </yVal>
          <smooth val="1"/>
        </ser>
        <axId val="10"/>
        <axId val="200"/>
      </scatterChart>
      <valAx>
        <axId val="10"/>
        <scaling>
          <orientation val="minMax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t, с</a:t>
                </a:r>
              </a:p>
            </rich>
          </tx>
        </title>
        <numFmt formatCode="0.000" sourceLinked="0"/>
        <majorTickMark val="none"/>
        <minorTickMark val="none"/>
        <crossAx val="20"/>
      </val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Iз, А</a:t>
                </a:r>
              </a:p>
            </rich>
          </tx>
        </title>
        <numFmt formatCode="0.00" sourceLinked="0"/>
        <majorTickMark val="none"/>
        <minorTickMark val="none"/>
        <crossAx val="10"/>
        <crosses val="min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Uз, В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Разряд катушки Iр(t), Uр(t)</a:t>
            </a:r>
          </a:p>
        </rich>
      </tx>
    </title>
    <plotArea>
      <scatterChart>
        <scatterStyle val="smoothMarker"/>
        <ser>
          <idx val="0"/>
          <order val="0"/>
          <tx>
            <strRef>
              <f>'Sheet1'!D9</f>
            </strRef>
          </tx>
          <spPr>
            <a:ln xmlns:a="http://schemas.openxmlformats.org/drawingml/2006/main" w="1905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'Sheet1'!$A$10:$A$60</f>
              <numCache>
                <formatCode>General</formatCode>
                <ptCount val="51"/>
                <pt idx="0">
                  <v>0</v>
                </pt>
                <pt idx="1">
                  <v>5e-05</v>
                </pt>
                <pt idx="2">
                  <v>0.0001</v>
                </pt>
                <pt idx="3">
                  <v>0.00015</v>
                </pt>
                <pt idx="4">
                  <v>0.0002</v>
                </pt>
                <pt idx="5">
                  <v>0.00025</v>
                </pt>
                <pt idx="6">
                  <v>0.0003</v>
                </pt>
                <pt idx="7">
                  <v>0.00035</v>
                </pt>
                <pt idx="8">
                  <v>0.0004</v>
                </pt>
                <pt idx="9">
                  <v>0.00045</v>
                </pt>
                <pt idx="10">
                  <v>0.0005</v>
                </pt>
                <pt idx="11">
                  <v>0.00055</v>
                </pt>
                <pt idx="12">
                  <v>0.0006</v>
                </pt>
                <pt idx="13">
                  <v>0.00065</v>
                </pt>
                <pt idx="14">
                  <v>0.0007</v>
                </pt>
                <pt idx="15">
                  <v>0.00075</v>
                </pt>
                <pt idx="16">
                  <v>0.0008</v>
                </pt>
                <pt idx="17">
                  <v>0.00085</v>
                </pt>
                <pt idx="18">
                  <v>0.0009</v>
                </pt>
                <pt idx="19">
                  <v>0.00095</v>
                </pt>
                <pt idx="20">
                  <v>0.001</v>
                </pt>
                <pt idx="21">
                  <v>0.00105</v>
                </pt>
                <pt idx="22">
                  <v>0.0011</v>
                </pt>
                <pt idx="23">
                  <v>0.00115</v>
                </pt>
                <pt idx="24">
                  <v>0.0012</v>
                </pt>
                <pt idx="25">
                  <v>0.00125</v>
                </pt>
                <pt idx="26">
                  <v>0.0013</v>
                </pt>
                <pt idx="27">
                  <v>0.00135</v>
                </pt>
                <pt idx="28">
                  <v>0.0014</v>
                </pt>
                <pt idx="29">
                  <v>0.00145</v>
                </pt>
                <pt idx="30">
                  <v>0.0015</v>
                </pt>
                <pt idx="31">
                  <v>0.00155</v>
                </pt>
                <pt idx="32">
                  <v>0.0016</v>
                </pt>
                <pt idx="33">
                  <v>0.00165</v>
                </pt>
                <pt idx="34">
                  <v>0.0017</v>
                </pt>
                <pt idx="35">
                  <v>0.00175</v>
                </pt>
                <pt idx="36">
                  <v>0.0018</v>
                </pt>
                <pt idx="37">
                  <v>0.00185</v>
                </pt>
                <pt idx="38">
                  <v>0.0019</v>
                </pt>
                <pt idx="39">
                  <v>0.00195</v>
                </pt>
                <pt idx="40">
                  <v>0.002</v>
                </pt>
                <pt idx="41">
                  <v>0.00205</v>
                </pt>
                <pt idx="42">
                  <v>0.0021</v>
                </pt>
                <pt idx="43">
                  <v>0.00215</v>
                </pt>
                <pt idx="44">
                  <v>0.0022</v>
                </pt>
                <pt idx="45">
                  <v>0.00225</v>
                </pt>
                <pt idx="46">
                  <v>0.0023</v>
                </pt>
                <pt idx="47">
                  <v>0.00235</v>
                </pt>
                <pt idx="48">
                  <v>0.0024</v>
                </pt>
                <pt idx="49">
                  <v>0.00245</v>
                </pt>
                <pt idx="50">
                  <v>0.0025</v>
                </pt>
              </numCache>
            </numRef>
          </xVal>
          <yVal>
            <numRef>
              <f>'Sheet1'!$D$10:$D$60</f>
              <numCache>
                <formatCode>General</formatCode>
                <ptCount val="51"/>
                <pt idx="0">
                  <v>0.0666666666666667</v>
                </pt>
                <pt idx="1">
                  <v>8.48422534226539e-05</v>
                </pt>
                <pt idx="2">
                  <v>1.07973119487507e-07</v>
                </pt>
                <pt idx="3">
                  <v>1.37410241495903e-10</v>
                </pt>
                <pt idx="4">
                  <v>1.74872917977953e-13</v>
                </pt>
                <pt idx="5">
                  <v>2.22549186357667e-16</v>
                </pt>
                <pt idx="6">
                  <v>2.83223617019437e-19</v>
                </pt>
                <pt idx="7">
                  <v>3.60439948356657e-22</v>
                </pt>
                <pt idx="8">
                  <v>4.58708061631858e-25</v>
                </pt>
                <pt idx="9">
                  <v>5.83767384179764e-28</v>
                </pt>
                <pt idx="10">
                  <v>7.42922105226891e-31</v>
                </pt>
                <pt idx="11">
                  <v>9.45467782874267e-34</v>
                </pt>
                <pt idx="12">
                  <v>1.20323425856359e-36</v>
                </pt>
                <pt idx="13">
                  <v>1.53127658837806e-39</v>
                </pt>
                <pt idx="14">
                  <v>1.94875434557025e-42</v>
                </pt>
                <pt idx="15">
                  <v>2.48005065068056e-45</v>
                </pt>
                <pt idx="16">
                  <v>3.15619628709085e-48</v>
                </pt>
                <pt idx="17">
                  <v>4.016682078615e-51</v>
                </pt>
                <pt idx="18">
                  <v>5.11176538248126e-54</v>
                </pt>
                <pt idx="19">
                  <v>6.50540541026443e-57</v>
                </pt>
                <pt idx="20">
                  <v>8.27899881652133e-60</v>
                </pt>
                <pt idx="21">
                  <v>1.05361337351571e-62</v>
                </pt>
                <pt idx="22">
                  <v>1.34086399267977e-65</v>
                </pt>
                <pt idx="23">
                  <v>1.70642884008375e-68</v>
                </pt>
                <pt idx="24">
                  <v>2.17165902147162e-71</v>
                </pt>
                <pt idx="25">
                  <v>2.76372667570942e-74</v>
                </pt>
                <pt idx="26">
                  <v>3.51721198517214e-77</v>
                </pt>
                <pt idx="27">
                  <v>4.47612285880773e-80</v>
                </pt>
                <pt idx="28">
                  <v>5.69646524906838e-83</v>
                </pt>
                <pt idx="29">
                  <v>7.24951422412208e-86</v>
                </pt>
                <pt idx="30">
                  <v>9.22597684491158e-89</v>
                </pt>
                <pt idx="31">
                  <v>1.17412899832123e-91</v>
                </pt>
                <pt idx="32">
                  <v>1.49423625039691e-94</v>
                </pt>
                <pt idx="33">
                  <v>1.90161555944232e-97</v>
                </pt>
                <pt idx="34">
                  <v>2.42006023810003e-100</v>
                </pt>
                <pt idx="35">
                  <v>3.07985046028459e-103</v>
                </pt>
                <pt idx="36">
                  <v>3.91952179883007e-106</v>
                </pt>
                <pt idx="37">
                  <v>4.9881159262794e-109</v>
                </pt>
                <pt idx="38">
                  <v>6.34804493278465e-112</v>
                </pt>
                <pt idx="39">
                  <v>8.07873655388572e-115</v>
                </pt>
                <pt idx="40">
                  <v>1.02812732105942e-117</v>
                </pt>
                <pt idx="41">
                  <v>1.30842958086114e-120</v>
                </pt>
                <pt idx="42">
                  <v>1.66515171127674e-123</v>
                </pt>
                <pt idx="43">
                  <v>2.11912835212968e-126</v>
                </pt>
                <pt idx="44">
                  <v>2.69687437029771e-129</v>
                </pt>
                <pt idx="45">
                  <v>3.43213348160801e-132</v>
                </pt>
                <pt idx="46">
                  <v>4.36784907940435e-135</v>
                </pt>
                <pt idx="47">
                  <v>5.55867237760083e-138</v>
                </pt>
                <pt idx="48">
                  <v>7.0741543583086e-141</v>
                </pt>
                <pt idx="49">
                  <v>9.00280795227919e-144</v>
                </pt>
                <pt idx="50">
                  <v>1.14572777070418e-146</v>
                </pt>
              </numCache>
            </numRef>
          </yVal>
          <smooth val="1"/>
        </ser>
        <axId val="10"/>
        <axId val="100"/>
      </scatterChart>
      <scatterChart>
        <scatterStyle val="smoothMarker"/>
        <ser>
          <idx val="1"/>
          <order val="1"/>
          <tx>
            <strRef>
              <f>'Sheet1'!E9</f>
            </strRef>
          </tx>
          <spPr>
            <a:ln xmlns:a="http://schemas.openxmlformats.org/drawingml/2006/main" w="19050">
              <a:solidFill>
                <a:srgbClr val="4472C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'Sheet1'!$A$10:$A$60</f>
              <numCache>
                <formatCode>General</formatCode>
                <ptCount val="51"/>
                <pt idx="0">
                  <v>0</v>
                </pt>
                <pt idx="1">
                  <v>5e-05</v>
                </pt>
                <pt idx="2">
                  <v>0.0001</v>
                </pt>
                <pt idx="3">
                  <v>0.00015</v>
                </pt>
                <pt idx="4">
                  <v>0.0002</v>
                </pt>
                <pt idx="5">
                  <v>0.00025</v>
                </pt>
                <pt idx="6">
                  <v>0.0003</v>
                </pt>
                <pt idx="7">
                  <v>0.00035</v>
                </pt>
                <pt idx="8">
                  <v>0.0004</v>
                </pt>
                <pt idx="9">
                  <v>0.00045</v>
                </pt>
                <pt idx="10">
                  <v>0.0005</v>
                </pt>
                <pt idx="11">
                  <v>0.00055</v>
                </pt>
                <pt idx="12">
                  <v>0.0006</v>
                </pt>
                <pt idx="13">
                  <v>0.00065</v>
                </pt>
                <pt idx="14">
                  <v>0.0007</v>
                </pt>
                <pt idx="15">
                  <v>0.00075</v>
                </pt>
                <pt idx="16">
                  <v>0.0008</v>
                </pt>
                <pt idx="17">
                  <v>0.00085</v>
                </pt>
                <pt idx="18">
                  <v>0.0009</v>
                </pt>
                <pt idx="19">
                  <v>0.00095</v>
                </pt>
                <pt idx="20">
                  <v>0.001</v>
                </pt>
                <pt idx="21">
                  <v>0.00105</v>
                </pt>
                <pt idx="22">
                  <v>0.0011</v>
                </pt>
                <pt idx="23">
                  <v>0.00115</v>
                </pt>
                <pt idx="24">
                  <v>0.0012</v>
                </pt>
                <pt idx="25">
                  <v>0.00125</v>
                </pt>
                <pt idx="26">
                  <v>0.0013</v>
                </pt>
                <pt idx="27">
                  <v>0.00135</v>
                </pt>
                <pt idx="28">
                  <v>0.0014</v>
                </pt>
                <pt idx="29">
                  <v>0.00145</v>
                </pt>
                <pt idx="30">
                  <v>0.0015</v>
                </pt>
                <pt idx="31">
                  <v>0.00155</v>
                </pt>
                <pt idx="32">
                  <v>0.0016</v>
                </pt>
                <pt idx="33">
                  <v>0.00165</v>
                </pt>
                <pt idx="34">
                  <v>0.0017</v>
                </pt>
                <pt idx="35">
                  <v>0.00175</v>
                </pt>
                <pt idx="36">
                  <v>0.0018</v>
                </pt>
                <pt idx="37">
                  <v>0.00185</v>
                </pt>
                <pt idx="38">
                  <v>0.0019</v>
                </pt>
                <pt idx="39">
                  <v>0.00195</v>
                </pt>
                <pt idx="40">
                  <v>0.002</v>
                </pt>
                <pt idx="41">
                  <v>0.00205</v>
                </pt>
                <pt idx="42">
                  <v>0.0021</v>
                </pt>
                <pt idx="43">
                  <v>0.00215</v>
                </pt>
                <pt idx="44">
                  <v>0.0022</v>
                </pt>
                <pt idx="45">
                  <v>0.00225</v>
                </pt>
                <pt idx="46">
                  <v>0.0023</v>
                </pt>
                <pt idx="47">
                  <v>0.00235</v>
                </pt>
                <pt idx="48">
                  <v>0.0024</v>
                </pt>
                <pt idx="49">
                  <v>0.00245</v>
                </pt>
                <pt idx="50">
                  <v>0.0025</v>
                </pt>
              </numCache>
            </numRef>
          </xVal>
          <yVal>
            <numRef>
              <f>'Sheet1'!$E$10:$E$60</f>
              <numCache>
                <formatCode>General</formatCode>
                <ptCount val="51"/>
                <pt idx="0">
                  <v>-8</v>
                </pt>
                <pt idx="1">
                  <v>-0.0101810704107185</v>
                </pt>
                <pt idx="2">
                  <v>-1.29567743385009e-05</v>
                </pt>
                <pt idx="3">
                  <v>-1.64892289795084e-08</v>
                </pt>
                <pt idx="4">
                  <v>-2.09847501573544e-11</v>
                </pt>
                <pt idx="5">
                  <v>-2.670590236292e-14</v>
                </pt>
                <pt idx="6">
                  <v>-3.39868340423325e-17</v>
                </pt>
                <pt idx="7">
                  <v>-4.32527938027989e-20</v>
                </pt>
                <pt idx="8">
                  <v>-5.5044967395823e-23</v>
                </pt>
                <pt idx="9">
                  <v>-7.00520861015717e-26</v>
                </pt>
                <pt idx="10">
                  <v>-8.91506526272269e-29</v>
                </pt>
                <pt idx="11">
                  <v>-1.13456133944912e-31</v>
                </pt>
                <pt idx="12">
                  <v>-1.44388111027631e-34</v>
                </pt>
                <pt idx="13">
                  <v>-1.83753190605368e-37</v>
                </pt>
                <pt idx="14">
                  <v>-2.3385052146843e-40</v>
                </pt>
                <pt idx="15">
                  <v>-2.97606078081667e-43</v>
                </pt>
                <pt idx="16">
                  <v>-3.78743554450902e-46</v>
                </pt>
                <pt idx="17">
                  <v>-4.82001849433799e-49</v>
                </pt>
                <pt idx="18">
                  <v>-6.13411845897751e-52</v>
                </pt>
                <pt idx="19">
                  <v>-7.80648649231731e-55</v>
                </pt>
                <pt idx="20">
                  <v>-9.9347985798256e-58</v>
                </pt>
                <pt idx="21">
                  <v>-1.26433604821885e-60</v>
                </pt>
                <pt idx="22">
                  <v>-1.60903679121573e-63</v>
                </pt>
                <pt idx="23">
                  <v>-2.0477146081005e-66</v>
                </pt>
                <pt idx="24">
                  <v>-2.60599082576594e-69</v>
                </pt>
                <pt idx="25">
                  <v>-3.3164720108513e-72</v>
                </pt>
                <pt idx="26">
                  <v>-4.22065438220657e-75</v>
                </pt>
                <pt idx="27">
                  <v>-5.37134743056927e-78</v>
                </pt>
                <pt idx="28">
                  <v>-6.83575829888206e-81</v>
                </pt>
                <pt idx="29">
                  <v>-8.6994170689465e-84</v>
                </pt>
                <pt idx="30">
                  <v>-1.10711722138939e-86</v>
                </pt>
                <pt idx="31">
                  <v>-1.40895479798548e-89</v>
                </pt>
                <pt idx="32">
                  <v>-1.79308350047629e-92</v>
                </pt>
                <pt idx="33">
                  <v>-2.28193867133079e-95</v>
                </pt>
                <pt idx="34">
                  <v>-2.90407228572004e-98</v>
                </pt>
                <pt idx="35">
                  <v>-3.69582055234151e-101</v>
                </pt>
                <pt idx="36">
                  <v>-4.70342615859608e-104</v>
                </pt>
                <pt idx="37">
                  <v>-5.98573911153528e-107</v>
                </pt>
                <pt idx="38">
                  <v>-7.61765391934158e-110</v>
                </pt>
                <pt idx="39">
                  <v>-9.69448386466286e-113</v>
                </pt>
                <pt idx="40">
                  <v>-1.23375278527131e-115</v>
                </pt>
                <pt idx="41">
                  <v>-1.57011549703337e-118</v>
                </pt>
                <pt idx="42">
                  <v>-1.99818205353209e-121</v>
                </pt>
                <pt idx="43">
                  <v>-2.54295402255562e-124</v>
                </pt>
                <pt idx="44">
                  <v>-3.23624924435725e-127</v>
                </pt>
                <pt idx="45">
                  <v>-4.11856017792961e-130</v>
                </pt>
                <pt idx="46">
                  <v>-5.24141889528522e-133</v>
                </pt>
                <pt idx="47">
                  <v>-6.670406853121e-136</v>
                </pt>
                <pt idx="48">
                  <v>-8.48898522997033e-139</v>
                </pt>
                <pt idx="49">
                  <v>-1.0803369542735e-141</v>
                </pt>
                <pt idx="50">
                  <v>-1.37487332484501e-144</v>
                </pt>
              </numCache>
            </numRef>
          </yVal>
          <smooth val="1"/>
        </ser>
        <axId val="10"/>
        <axId val="200"/>
      </scatterChart>
      <valAx>
        <axId val="10"/>
        <scaling>
          <orientation val="minMax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t, с</a:t>
                </a:r>
              </a:p>
            </rich>
          </tx>
        </title>
        <numFmt formatCode="0.000" sourceLinked="0"/>
        <majorTickMark val="none"/>
        <minorTickMark val="none"/>
        <crossAx val="20"/>
      </val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Iр, А</a:t>
                </a:r>
              </a:p>
            </rich>
          </tx>
        </title>
        <numFmt formatCode="0.00" sourceLinked="0"/>
        <majorTickMark val="none"/>
        <minorTickMark val="none"/>
        <crossAx val="10"/>
        <crosses val="min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Uр, В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Заряд при L/3</a:t>
            </a:r>
          </a:p>
        </rich>
      </tx>
    </title>
    <plotArea>
      <scatterChart>
        <scatterStyle val="smoothMarker"/>
        <ser>
          <idx val="0"/>
          <order val="0"/>
          <tx>
            <strRef>
              <f>'Sheet1'!U9</f>
            </strRef>
          </tx>
          <spPr>
            <a:ln xmlns:a="http://schemas.openxmlformats.org/drawingml/2006/main" w="1905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'Sheet1'!$T$10:$T$60</f>
              <numCache>
                <formatCode>General</formatCode>
                <ptCount val="51"/>
                <pt idx="0">
                  <v>0</v>
                </pt>
                <pt idx="1">
                  <v>5e-05</v>
                </pt>
                <pt idx="2">
                  <v>0.0001</v>
                </pt>
                <pt idx="3">
                  <v>0.00015</v>
                </pt>
                <pt idx="4">
                  <v>0.0002</v>
                </pt>
                <pt idx="5">
                  <v>0.00025</v>
                </pt>
                <pt idx="6">
                  <v>0.0003</v>
                </pt>
                <pt idx="7">
                  <v>0.00035</v>
                </pt>
                <pt idx="8">
                  <v>0.0004</v>
                </pt>
                <pt idx="9">
                  <v>0.00045</v>
                </pt>
                <pt idx="10">
                  <v>0.0005</v>
                </pt>
                <pt idx="11">
                  <v>0.00055</v>
                </pt>
                <pt idx="12">
                  <v>0.0006</v>
                </pt>
                <pt idx="13">
                  <v>0.00065</v>
                </pt>
                <pt idx="14">
                  <v>0.0007</v>
                </pt>
                <pt idx="15">
                  <v>0.00075</v>
                </pt>
                <pt idx="16">
                  <v>0.0008</v>
                </pt>
                <pt idx="17">
                  <v>0.00085</v>
                </pt>
                <pt idx="18">
                  <v>0.0009</v>
                </pt>
                <pt idx="19">
                  <v>0.00095</v>
                </pt>
                <pt idx="20">
                  <v>0.001</v>
                </pt>
                <pt idx="21">
                  <v>0.00105</v>
                </pt>
                <pt idx="22">
                  <v>0.0011</v>
                </pt>
                <pt idx="23">
                  <v>0.00115</v>
                </pt>
                <pt idx="24">
                  <v>0.0012</v>
                </pt>
                <pt idx="25">
                  <v>0.00125</v>
                </pt>
                <pt idx="26">
                  <v>0.0013</v>
                </pt>
                <pt idx="27">
                  <v>0.00135</v>
                </pt>
                <pt idx="28">
                  <v>0.0014</v>
                </pt>
                <pt idx="29">
                  <v>0.00145</v>
                </pt>
                <pt idx="30">
                  <v>0.0015</v>
                </pt>
                <pt idx="31">
                  <v>0.00155</v>
                </pt>
                <pt idx="32">
                  <v>0.0016</v>
                </pt>
                <pt idx="33">
                  <v>0.00165</v>
                </pt>
                <pt idx="34">
                  <v>0.0017</v>
                </pt>
                <pt idx="35">
                  <v>0.00175</v>
                </pt>
                <pt idx="36">
                  <v>0.0018</v>
                </pt>
                <pt idx="37">
                  <v>0.00185</v>
                </pt>
                <pt idx="38">
                  <v>0.0019</v>
                </pt>
                <pt idx="39">
                  <v>0.00195</v>
                </pt>
                <pt idx="40">
                  <v>0.002</v>
                </pt>
                <pt idx="41">
                  <v>0.00205</v>
                </pt>
                <pt idx="42">
                  <v>0.0021</v>
                </pt>
                <pt idx="43">
                  <v>0.00215</v>
                </pt>
                <pt idx="44">
                  <v>0.0022</v>
                </pt>
                <pt idx="45">
                  <v>0.00225</v>
                </pt>
                <pt idx="46">
                  <v>0.0023</v>
                </pt>
                <pt idx="47">
                  <v>0.00235</v>
                </pt>
                <pt idx="48">
                  <v>0.0024</v>
                </pt>
                <pt idx="49">
                  <v>0.00245</v>
                </pt>
                <pt idx="50">
                  <v>0.0025</v>
                </pt>
              </numCache>
            </numRef>
          </xVal>
          <yVal>
            <numRef>
              <f>'Sheet1'!$U$10:$U$60</f>
              <numCache>
                <formatCode>General</formatCode>
                <ptCount val="51"/>
                <pt idx="0">
                  <v>0</v>
                </pt>
                <pt idx="1">
                  <v>0.690550968756951</v>
                </pt>
                <pt idx="2">
                  <v>0.844633717006343</v>
                </pt>
                <pt idx="3">
                  <v>0.87901422529934</v>
                </pt>
                <pt idx="4">
                  <v>0.886685553620741</v>
                </pt>
                <pt idx="5">
                  <v>0.888397258337646</v>
                </pt>
                <pt idx="6">
                  <v>0.888779191285256</v>
                </pt>
                <pt idx="7">
                  <v>0.888864412045022</v>
                </pt>
                <pt idx="8">
                  <v>0.888883427366797</v>
                </pt>
                <pt idx="9">
                  <v>0.88888767025859</v>
                </pt>
                <pt idx="10">
                  <v>0.888888616975715</v>
                </pt>
                <pt idx="11">
                  <v>0.888888828216859</v>
                </pt>
                <pt idx="12">
                  <v>0.888888875351129</v>
                </pt>
                <pt idx="13">
                  <v>0.888888885868206</v>
                </pt>
                <pt idx="14">
                  <v>0.888888888214884</v>
                </pt>
                <pt idx="15">
                  <v>0.888888888738498</v>
                </pt>
                <pt idx="16">
                  <v>0.888888888855332</v>
                </pt>
                <pt idx="17">
                  <v>0.888888888881401</v>
                </pt>
                <pt idx="18">
                  <v>0.888888888887218</v>
                </pt>
                <pt idx="19">
                  <v>0.888888888888516</v>
                </pt>
                <pt idx="20">
                  <v>0.888888888888806</v>
                </pt>
                <pt idx="21">
                  <v>0.88888888888887</v>
                </pt>
                <pt idx="22">
                  <v>0.888888888888885</v>
                </pt>
                <pt idx="23">
                  <v>0.888888888888888</v>
                </pt>
                <pt idx="24">
                  <v>0.888888888888889</v>
                </pt>
                <pt idx="25">
                  <v>0.888888888888889</v>
                </pt>
                <pt idx="26">
                  <v>0.888888888888889</v>
                </pt>
                <pt idx="27">
                  <v>0.888888888888889</v>
                </pt>
                <pt idx="28">
                  <v>0.888888888888889</v>
                </pt>
                <pt idx="29">
                  <v>0.888888888888889</v>
                </pt>
                <pt idx="30">
                  <v>0.888888888888889</v>
                </pt>
                <pt idx="31">
                  <v>0.888888888888889</v>
                </pt>
                <pt idx="32">
                  <v>0.888888888888889</v>
                </pt>
                <pt idx="33">
                  <v>0.888888888888889</v>
                </pt>
                <pt idx="34">
                  <v>0.888888888888889</v>
                </pt>
                <pt idx="35">
                  <v>0.888888888888889</v>
                </pt>
                <pt idx="36">
                  <v>0.888888888888889</v>
                </pt>
                <pt idx="37">
                  <v>0.888888888888889</v>
                </pt>
                <pt idx="38">
                  <v>0.888888888888889</v>
                </pt>
                <pt idx="39">
                  <v>0.888888888888889</v>
                </pt>
                <pt idx="40">
                  <v>0.888888888888889</v>
                </pt>
                <pt idx="41">
                  <v>0.888888888888889</v>
                </pt>
                <pt idx="42">
                  <v>0.888888888888889</v>
                </pt>
                <pt idx="43">
                  <v>0.888888888888889</v>
                </pt>
                <pt idx="44">
                  <v>0.888888888888889</v>
                </pt>
                <pt idx="45">
                  <v>0.888888888888889</v>
                </pt>
                <pt idx="46">
                  <v>0.888888888888889</v>
                </pt>
                <pt idx="47">
                  <v>0.888888888888889</v>
                </pt>
                <pt idx="48">
                  <v>0.888888888888889</v>
                </pt>
                <pt idx="49">
                  <v>0.888888888888889</v>
                </pt>
                <pt idx="50">
                  <v>0.888888888888889</v>
                </pt>
              </numCache>
            </numRef>
          </yVal>
          <smooth val="1"/>
        </ser>
        <axId val="10"/>
        <axId val="100"/>
      </scatterChart>
      <scatterChart>
        <scatterStyle val="smoothMarker"/>
        <ser>
          <idx val="1"/>
          <order val="1"/>
          <tx>
            <strRef>
              <f>'Sheet1'!V9</f>
            </strRef>
          </tx>
          <spPr>
            <a:ln xmlns:a="http://schemas.openxmlformats.org/drawingml/2006/main" w="19050">
              <a:solidFill>
                <a:srgbClr val="4472C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'Sheet1'!$T$10:$T$60</f>
              <numCache>
                <formatCode>General</formatCode>
                <ptCount val="51"/>
                <pt idx="0">
                  <v>0</v>
                </pt>
                <pt idx="1">
                  <v>5e-05</v>
                </pt>
                <pt idx="2">
                  <v>0.0001</v>
                </pt>
                <pt idx="3">
                  <v>0.00015</v>
                </pt>
                <pt idx="4">
                  <v>0.0002</v>
                </pt>
                <pt idx="5">
                  <v>0.00025</v>
                </pt>
                <pt idx="6">
                  <v>0.0003</v>
                </pt>
                <pt idx="7">
                  <v>0.00035</v>
                </pt>
                <pt idx="8">
                  <v>0.0004</v>
                </pt>
                <pt idx="9">
                  <v>0.00045</v>
                </pt>
                <pt idx="10">
                  <v>0.0005</v>
                </pt>
                <pt idx="11">
                  <v>0.00055</v>
                </pt>
                <pt idx="12">
                  <v>0.0006</v>
                </pt>
                <pt idx="13">
                  <v>0.00065</v>
                </pt>
                <pt idx="14">
                  <v>0.0007</v>
                </pt>
                <pt idx="15">
                  <v>0.00075</v>
                </pt>
                <pt idx="16">
                  <v>0.0008</v>
                </pt>
                <pt idx="17">
                  <v>0.00085</v>
                </pt>
                <pt idx="18">
                  <v>0.0009</v>
                </pt>
                <pt idx="19">
                  <v>0.00095</v>
                </pt>
                <pt idx="20">
                  <v>0.001</v>
                </pt>
                <pt idx="21">
                  <v>0.00105</v>
                </pt>
                <pt idx="22">
                  <v>0.0011</v>
                </pt>
                <pt idx="23">
                  <v>0.00115</v>
                </pt>
                <pt idx="24">
                  <v>0.0012</v>
                </pt>
                <pt idx="25">
                  <v>0.00125</v>
                </pt>
                <pt idx="26">
                  <v>0.0013</v>
                </pt>
                <pt idx="27">
                  <v>0.00135</v>
                </pt>
                <pt idx="28">
                  <v>0.0014</v>
                </pt>
                <pt idx="29">
                  <v>0.00145</v>
                </pt>
                <pt idx="30">
                  <v>0.0015</v>
                </pt>
                <pt idx="31">
                  <v>0.00155</v>
                </pt>
                <pt idx="32">
                  <v>0.0016</v>
                </pt>
                <pt idx="33">
                  <v>0.00165</v>
                </pt>
                <pt idx="34">
                  <v>0.0017</v>
                </pt>
                <pt idx="35">
                  <v>0.00175</v>
                </pt>
                <pt idx="36">
                  <v>0.0018</v>
                </pt>
                <pt idx="37">
                  <v>0.00185</v>
                </pt>
                <pt idx="38">
                  <v>0.0019</v>
                </pt>
                <pt idx="39">
                  <v>0.00195</v>
                </pt>
                <pt idx="40">
                  <v>0.002</v>
                </pt>
                <pt idx="41">
                  <v>0.00205</v>
                </pt>
                <pt idx="42">
                  <v>0.0021</v>
                </pt>
                <pt idx="43">
                  <v>0.00215</v>
                </pt>
                <pt idx="44">
                  <v>0.0022</v>
                </pt>
                <pt idx="45">
                  <v>0.00225</v>
                </pt>
                <pt idx="46">
                  <v>0.0023</v>
                </pt>
                <pt idx="47">
                  <v>0.00235</v>
                </pt>
                <pt idx="48">
                  <v>0.0024</v>
                </pt>
                <pt idx="49">
                  <v>0.00245</v>
                </pt>
                <pt idx="50">
                  <v>0.0025</v>
                </pt>
              </numCache>
            </numRef>
          </xVal>
          <yVal>
            <numRef>
              <f>'Sheet1'!$V$10:$V$60</f>
              <numCache>
                <formatCode>General</formatCode>
                <ptCount val="51"/>
                <pt idx="0">
                  <v>8</v>
                </pt>
                <pt idx="1">
                  <v>1.78504128118744</v>
                </pt>
                <pt idx="2">
                  <v>0.398296546942911</v>
                </pt>
                <pt idx="3">
                  <v>0.0888719723059384</v>
                </pt>
                <pt idx="4">
                  <v>0.0198300174133309</v>
                </pt>
                <pt idx="5">
                  <v>0.00442467496118266</v>
                </pt>
                <pt idx="6">
                  <v>0.000987278432693435</v>
                </pt>
                <pt idx="7">
                  <v>0.000220291594797977</v>
                </pt>
                <pt idx="8">
                  <v>4.91536988266256e-05</v>
                </pt>
                <pt idx="9">
                  <v>1.09676726910726e-05</v>
                </pt>
                <pt idx="10">
                  <v>2.4472185640146e-06</v>
                </pt>
                <pt idx="11">
                  <v>5.46048270106788e-07</v>
                </pt>
                <pt idx="12">
                  <v>1.21839837957701e-07</v>
                </pt>
                <pt idx="13">
                  <v>2.71861425559605e-08</v>
                </pt>
                <pt idx="14">
                  <v>6.0660483423295e-09</v>
                </pt>
                <pt idx="15">
                  <v>1.3535183380921e-09</v>
                </pt>
                <pt idx="16">
                  <v>3.02010763542327e-10</v>
                </pt>
                <pt idx="17">
                  <v>6.73877100357489e-11</v>
                </pt>
                <pt idx="18">
                  <v>1.50362305323126e-11</v>
                </pt>
                <pt idx="19">
                  <v>3.35503652670362e-12</v>
                </pt>
                <pt idx="20">
                  <v>7.48609837507209e-13</v>
                </pt>
                <pt idx="21">
                  <v>1.67037432931674e-13</v>
                </pt>
                <pt idx="22">
                  <v>3.72710891608269e-14</v>
                </pt>
                <pt idx="23">
                  <v>8.31630409336178e-15</v>
                </pt>
                <pt idx="24">
                  <v>1.85561826419484e-15</v>
                </pt>
                <pt idx="25">
                  <v>4.1404440046415e-16</v>
                </pt>
                <pt idx="26">
                  <v>9.23857933841256e-17</v>
                </pt>
                <pt idx="27">
                  <v>2.06140568732397e-17</v>
                </pt>
                <pt idx="28">
                  <v>4.59961781143481e-18</v>
                </pt>
                <pt idx="29">
                  <v>1.02631345888702e-18</v>
                </pt>
                <pt idx="30">
                  <v>2.29001486443951e-19</v>
                </pt>
                <pt idx="31">
                  <v>5.1097138344467e-20</v>
                </pt>
                <pt idx="32">
                  <v>1.14013126619274e-20</v>
                </pt>
                <pt idx="33">
                  <v>2.54397672015818e-21</v>
                </pt>
                <pt idx="34">
                  <v>5.67637932982772e-22</v>
                </pt>
                <pt idx="35">
                  <v>1.2665714289277e-22</v>
                </pt>
                <pt idx="36">
                  <v>2.82610285776061e-23</v>
                </pt>
                <pt idx="37">
                  <v>6.30588783248064e-24</v>
                </pt>
                <pt idx="38">
                  <v>1.40703376193944e-24</v>
                </pt>
                <pt idx="39">
                  <v>3.13951668635795e-25</v>
                </pt>
                <pt idx="40">
                  <v>7.00520861015712e-26</v>
                </pt>
                <pt idx="41">
                  <v>1.56307331905753e-26</v>
                </pt>
                <pt idx="42">
                  <v>3.48768800005042e-27</v>
                </pt>
                <pt idx="43">
                  <v>7.78208381999017e-28</v>
                </pt>
                <pt idx="44">
                  <v>1.73641760904289e-28</v>
                </pt>
                <pt idx="45">
                  <v>3.87447139190293e-29</v>
                </pt>
                <pt idx="46">
                  <v>8.64511422165823e-30</v>
                </pt>
                <pt idx="47">
                  <v>1.92898572078004e-30</v>
                </pt>
                <pt idx="48">
                  <v>4.30414892801685e-31</v>
                </pt>
                <pt idx="49">
                  <v>9.60385439611106e-32</v>
                </pt>
                <pt idx="50">
                  <v>2.14290956944646e-32</v>
                </pt>
              </numCache>
            </numRef>
          </yVal>
          <smooth val="1"/>
        </ser>
        <axId val="10"/>
        <axId val="200"/>
      </scatterChart>
      <valAx>
        <axId val="10"/>
        <scaling>
          <orientation val="minMax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t, с</a:t>
                </a:r>
              </a:p>
            </rich>
          </tx>
        </title>
        <numFmt formatCode="0.000" sourceLinked="0"/>
        <majorTickMark val="none"/>
        <minorTickMark val="none"/>
        <crossAx val="20"/>
      </val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Iз, А</a:t>
                </a:r>
              </a:p>
            </rich>
          </tx>
        </title>
        <numFmt formatCode="0.00" sourceLinked="0"/>
        <majorTickMark val="none"/>
        <minorTickMark val="none"/>
        <crossAx val="10"/>
        <crosses val="min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Uз, В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Разряд при L/3</a:t>
            </a:r>
          </a:p>
        </rich>
      </tx>
    </title>
    <plotArea>
      <scatterChart>
        <scatterStyle val="smoothMarker"/>
        <ser>
          <idx val="0"/>
          <order val="0"/>
          <tx>
            <strRef>
              <f>'Sheet1'!W9</f>
            </strRef>
          </tx>
          <spPr>
            <a:ln xmlns:a="http://schemas.openxmlformats.org/drawingml/2006/main" w="1905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'Sheet1'!$T$10:$T$60</f>
              <numCache>
                <formatCode>General</formatCode>
                <ptCount val="51"/>
                <pt idx="0">
                  <v>0</v>
                </pt>
                <pt idx="1">
                  <v>5e-05</v>
                </pt>
                <pt idx="2">
                  <v>0.0001</v>
                </pt>
                <pt idx="3">
                  <v>0.00015</v>
                </pt>
                <pt idx="4">
                  <v>0.0002</v>
                </pt>
                <pt idx="5">
                  <v>0.00025</v>
                </pt>
                <pt idx="6">
                  <v>0.0003</v>
                </pt>
                <pt idx="7">
                  <v>0.00035</v>
                </pt>
                <pt idx="8">
                  <v>0.0004</v>
                </pt>
                <pt idx="9">
                  <v>0.00045</v>
                </pt>
                <pt idx="10">
                  <v>0.0005</v>
                </pt>
                <pt idx="11">
                  <v>0.00055</v>
                </pt>
                <pt idx="12">
                  <v>0.0006</v>
                </pt>
                <pt idx="13">
                  <v>0.00065</v>
                </pt>
                <pt idx="14">
                  <v>0.0007</v>
                </pt>
                <pt idx="15">
                  <v>0.00075</v>
                </pt>
                <pt idx="16">
                  <v>0.0008</v>
                </pt>
                <pt idx="17">
                  <v>0.00085</v>
                </pt>
                <pt idx="18">
                  <v>0.0009</v>
                </pt>
                <pt idx="19">
                  <v>0.00095</v>
                </pt>
                <pt idx="20">
                  <v>0.001</v>
                </pt>
                <pt idx="21">
                  <v>0.00105</v>
                </pt>
                <pt idx="22">
                  <v>0.0011</v>
                </pt>
                <pt idx="23">
                  <v>0.00115</v>
                </pt>
                <pt idx="24">
                  <v>0.0012</v>
                </pt>
                <pt idx="25">
                  <v>0.00125</v>
                </pt>
                <pt idx="26">
                  <v>0.0013</v>
                </pt>
                <pt idx="27">
                  <v>0.00135</v>
                </pt>
                <pt idx="28">
                  <v>0.0014</v>
                </pt>
                <pt idx="29">
                  <v>0.00145</v>
                </pt>
                <pt idx="30">
                  <v>0.0015</v>
                </pt>
                <pt idx="31">
                  <v>0.00155</v>
                </pt>
                <pt idx="32">
                  <v>0.0016</v>
                </pt>
                <pt idx="33">
                  <v>0.00165</v>
                </pt>
                <pt idx="34">
                  <v>0.0017</v>
                </pt>
                <pt idx="35">
                  <v>0.00175</v>
                </pt>
                <pt idx="36">
                  <v>0.0018</v>
                </pt>
                <pt idx="37">
                  <v>0.00185</v>
                </pt>
                <pt idx="38">
                  <v>0.0019</v>
                </pt>
                <pt idx="39">
                  <v>0.00195</v>
                </pt>
                <pt idx="40">
                  <v>0.002</v>
                </pt>
                <pt idx="41">
                  <v>0.00205</v>
                </pt>
                <pt idx="42">
                  <v>0.0021</v>
                </pt>
                <pt idx="43">
                  <v>0.00215</v>
                </pt>
                <pt idx="44">
                  <v>0.0022</v>
                </pt>
                <pt idx="45">
                  <v>0.00225</v>
                </pt>
                <pt idx="46">
                  <v>0.0023</v>
                </pt>
                <pt idx="47">
                  <v>0.00235</v>
                </pt>
                <pt idx="48">
                  <v>0.0024</v>
                </pt>
                <pt idx="49">
                  <v>0.00245</v>
                </pt>
                <pt idx="50">
                  <v>0.0025</v>
                </pt>
              </numCache>
            </numRef>
          </xVal>
          <yVal>
            <numRef>
              <f>'Sheet1'!$W$10:$W$60</f>
              <numCache>
                <formatCode>General</formatCode>
                <ptCount val="51"/>
                <pt idx="0">
                  <v>0.0666666666666667</v>
                </pt>
                <pt idx="1">
                  <v>1.37410241495903e-10</v>
                </pt>
                <pt idx="2">
                  <v>2.83223617019437e-19</v>
                </pt>
                <pt idx="3">
                  <v>5.8376738417976e-28</v>
                </pt>
                <pt idx="4">
                  <v>1.20323425856359e-36</v>
                </pt>
                <pt idx="5">
                  <v>2.48005065068056e-45</v>
                </pt>
                <pt idx="6">
                  <v>5.11176538248119e-54</v>
                </pt>
                <pt idx="7">
                  <v>1.05361337351571e-62</v>
                </pt>
                <pt idx="8">
                  <v>2.17165902147162e-71</v>
                </pt>
                <pt idx="9">
                  <v>4.4761228588076e-80</v>
                </pt>
                <pt idx="10">
                  <v>9.22597684491158e-89</v>
                </pt>
                <pt idx="11">
                  <v>1.90161555944232e-97</v>
                </pt>
                <pt idx="12">
                  <v>3.91952179882996e-106</v>
                </pt>
                <pt idx="13">
                  <v>8.07873655388526e-115</v>
                </pt>
                <pt idx="14">
                  <v>1.66515171127674e-123</v>
                </pt>
                <pt idx="15">
                  <v>3.43213348160801e-132</v>
                </pt>
                <pt idx="16">
                  <v>7.0741543583086e-141</v>
                </pt>
                <pt idx="17">
                  <v>1.45809188813173e-149</v>
                </pt>
                <pt idx="18">
                  <v>3.00535137707099e-158</v>
                </pt>
                <pt idx="19">
                  <v>6.19449087755058e-167</v>
                </pt>
                <pt idx="20">
                  <v>1.27677973114267e-175</v>
                </pt>
                <pt idx="21">
                  <v>2.63163916790054e-184</v>
                </pt>
                <pt idx="22">
                  <v>5.42421260386971e-193</v>
                </pt>
                <pt idx="23">
                  <v>1.11801354573429e-201</v>
                </pt>
                <pt idx="24">
                  <v>2.30439766972548e-210</v>
                </pt>
                <pt idx="25">
                  <v>4.74971760449419e-219</v>
                </pt>
                <pt idx="26">
                  <v>9.78989764606228e-228</v>
                </pt>
                <pt idx="27">
                  <v>2.0178482996484e-236</v>
                </pt>
                <pt idx="28">
                  <v>4.15909533235178e-245</v>
                </pt>
                <pt idx="29">
                  <v>8.57253441034417e-254</v>
                </pt>
                <pt idx="30">
                  <v>1.76693103533621e-262</v>
                </pt>
                <pt idx="31">
                  <v>3.64191630408192e-271</v>
                </pt>
                <pt idx="32">
                  <v>7.5065489827765e-280</v>
                </pt>
                <pt idx="33">
                  <v>1.54721506278622e-288</v>
                </pt>
                <pt idx="34">
                  <v>3.18904793135333e-297</v>
                </pt>
                <pt idx="35">
                  <v>6.57311769583985e-306</v>
                </pt>
                <pt idx="36">
                  <v>1.35482053494557e-314</v>
                </pt>
                <pt idx="37">
                  <v>2.96439387504748e-323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</numCache>
            </numRef>
          </yVal>
          <smooth val="1"/>
        </ser>
        <axId val="10"/>
        <axId val="100"/>
      </scatterChart>
      <scatterChart>
        <scatterStyle val="smoothMarker"/>
        <ser>
          <idx val="1"/>
          <order val="1"/>
          <tx>
            <strRef>
              <f>'Sheet1'!X9</f>
            </strRef>
          </tx>
          <spPr>
            <a:ln xmlns:a="http://schemas.openxmlformats.org/drawingml/2006/main" w="19050">
              <a:solidFill>
                <a:srgbClr val="4472C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'Sheet1'!$T$10:$T$60</f>
              <numCache>
                <formatCode>General</formatCode>
                <ptCount val="51"/>
                <pt idx="0">
                  <v>0</v>
                </pt>
                <pt idx="1">
                  <v>5e-05</v>
                </pt>
                <pt idx="2">
                  <v>0.0001</v>
                </pt>
                <pt idx="3">
                  <v>0.00015</v>
                </pt>
                <pt idx="4">
                  <v>0.0002</v>
                </pt>
                <pt idx="5">
                  <v>0.00025</v>
                </pt>
                <pt idx="6">
                  <v>0.0003</v>
                </pt>
                <pt idx="7">
                  <v>0.00035</v>
                </pt>
                <pt idx="8">
                  <v>0.0004</v>
                </pt>
                <pt idx="9">
                  <v>0.00045</v>
                </pt>
                <pt idx="10">
                  <v>0.0005</v>
                </pt>
                <pt idx="11">
                  <v>0.00055</v>
                </pt>
                <pt idx="12">
                  <v>0.0006</v>
                </pt>
                <pt idx="13">
                  <v>0.00065</v>
                </pt>
                <pt idx="14">
                  <v>0.0007</v>
                </pt>
                <pt idx="15">
                  <v>0.00075</v>
                </pt>
                <pt idx="16">
                  <v>0.0008</v>
                </pt>
                <pt idx="17">
                  <v>0.00085</v>
                </pt>
                <pt idx="18">
                  <v>0.0009</v>
                </pt>
                <pt idx="19">
                  <v>0.00095</v>
                </pt>
                <pt idx="20">
                  <v>0.001</v>
                </pt>
                <pt idx="21">
                  <v>0.00105</v>
                </pt>
                <pt idx="22">
                  <v>0.0011</v>
                </pt>
                <pt idx="23">
                  <v>0.00115</v>
                </pt>
                <pt idx="24">
                  <v>0.0012</v>
                </pt>
                <pt idx="25">
                  <v>0.00125</v>
                </pt>
                <pt idx="26">
                  <v>0.0013</v>
                </pt>
                <pt idx="27">
                  <v>0.00135</v>
                </pt>
                <pt idx="28">
                  <v>0.0014</v>
                </pt>
                <pt idx="29">
                  <v>0.00145</v>
                </pt>
                <pt idx="30">
                  <v>0.0015</v>
                </pt>
                <pt idx="31">
                  <v>0.00155</v>
                </pt>
                <pt idx="32">
                  <v>0.0016</v>
                </pt>
                <pt idx="33">
                  <v>0.00165</v>
                </pt>
                <pt idx="34">
                  <v>0.0017</v>
                </pt>
                <pt idx="35">
                  <v>0.00175</v>
                </pt>
                <pt idx="36">
                  <v>0.0018</v>
                </pt>
                <pt idx="37">
                  <v>0.00185</v>
                </pt>
                <pt idx="38">
                  <v>0.0019</v>
                </pt>
                <pt idx="39">
                  <v>0.00195</v>
                </pt>
                <pt idx="40">
                  <v>0.002</v>
                </pt>
                <pt idx="41">
                  <v>0.00205</v>
                </pt>
                <pt idx="42">
                  <v>0.0021</v>
                </pt>
                <pt idx="43">
                  <v>0.00215</v>
                </pt>
                <pt idx="44">
                  <v>0.0022</v>
                </pt>
                <pt idx="45">
                  <v>0.00225</v>
                </pt>
                <pt idx="46">
                  <v>0.0023</v>
                </pt>
                <pt idx="47">
                  <v>0.00235</v>
                </pt>
                <pt idx="48">
                  <v>0.0024</v>
                </pt>
                <pt idx="49">
                  <v>0.00245</v>
                </pt>
                <pt idx="50">
                  <v>0.0025</v>
                </pt>
              </numCache>
            </numRef>
          </xVal>
          <yVal>
            <numRef>
              <f>'Sheet1'!$X$10:$X$60</f>
              <numCache>
                <formatCode>General</formatCode>
                <ptCount val="51"/>
                <pt idx="0">
                  <v>-8</v>
                </pt>
                <pt idx="1">
                  <v>-1.64892289795084e-08</v>
                </pt>
                <pt idx="2">
                  <v>-3.39868340423325e-17</v>
                </pt>
                <pt idx="3">
                  <v>-7.00520861015712e-26</v>
                </pt>
                <pt idx="4">
                  <v>-1.44388111027631e-34</v>
                </pt>
                <pt idx="5">
                  <v>-2.97606078081667e-43</v>
                </pt>
                <pt idx="6">
                  <v>-6.13411845897743e-52</v>
                </pt>
                <pt idx="7">
                  <v>-1.26433604821885e-60</v>
                </pt>
                <pt idx="8">
                  <v>-2.60599082576594e-69</v>
                </pt>
                <pt idx="9">
                  <v>-5.37134743056912e-78</v>
                </pt>
                <pt idx="10">
                  <v>-1.10711722138939e-86</v>
                </pt>
                <pt idx="11">
                  <v>-2.28193867133079e-95</v>
                </pt>
                <pt idx="12">
                  <v>-4.70342615859595e-104</v>
                </pt>
                <pt idx="13">
                  <v>-9.69448386466231e-113</v>
                </pt>
                <pt idx="14">
                  <v>-1.99818205353209e-121</v>
                </pt>
                <pt idx="15">
                  <v>-4.11856017792961e-130</v>
                </pt>
                <pt idx="16">
                  <v>-8.48898522997033e-139</v>
                </pt>
                <pt idx="17">
                  <v>-1.74971026575808e-147</v>
                </pt>
                <pt idx="18">
                  <v>-3.60642165248519e-156</v>
                </pt>
                <pt idx="19">
                  <v>-7.4333890530607e-165</v>
                </pt>
                <pt idx="20">
                  <v>-1.5321356773712e-173</v>
                </pt>
                <pt idx="21">
                  <v>-3.15796700148065e-182</v>
                </pt>
                <pt idx="22">
                  <v>-6.50905512464365e-191</v>
                </pt>
                <pt idx="23">
                  <v>-1.34161625488115e-199</v>
                </pt>
                <pt idx="24">
                  <v>-2.76527720367058e-208</v>
                </pt>
                <pt idx="25">
                  <v>-5.69966112539303e-217</v>
                </pt>
                <pt idx="26">
                  <v>-1.17478771752747e-225</v>
                </pt>
                <pt idx="27">
                  <v>-2.42141795957808e-234</v>
                </pt>
                <pt idx="28">
                  <v>-4.99091439882213e-243</v>
                </pt>
                <pt idx="29">
                  <v>-1.0287041292413e-251</v>
                </pt>
                <pt idx="30">
                  <v>-2.12031724240345e-260</v>
                </pt>
                <pt idx="31">
                  <v>-4.37029956489831e-269</v>
                </pt>
                <pt idx="32">
                  <v>-9.00785877933179e-278</v>
                </pt>
                <pt idx="33">
                  <v>-1.85665807534347e-286</v>
                </pt>
                <pt idx="34">
                  <v>-3.82685751762399e-295</v>
                </pt>
                <pt idx="35">
                  <v>-7.88774123500782e-304</v>
                </pt>
                <pt idx="36">
                  <v>-1.62578464193469e-312</v>
                </pt>
                <pt idx="37">
                  <v>-3.35964639172048e-321</v>
                </pt>
                <pt idx="38">
                  <v>-0</v>
                </pt>
                <pt idx="39">
                  <v>-0</v>
                </pt>
                <pt idx="40">
                  <v>-0</v>
                </pt>
                <pt idx="41">
                  <v>-0</v>
                </pt>
                <pt idx="42">
                  <v>-0</v>
                </pt>
                <pt idx="43">
                  <v>-0</v>
                </pt>
                <pt idx="44">
                  <v>-0</v>
                </pt>
                <pt idx="45">
                  <v>-0</v>
                </pt>
                <pt idx="46">
                  <v>-0</v>
                </pt>
                <pt idx="47">
                  <v>-0</v>
                </pt>
                <pt idx="48">
                  <v>-0</v>
                </pt>
                <pt idx="49">
                  <v>-0</v>
                </pt>
                <pt idx="50">
                  <v>-0</v>
                </pt>
              </numCache>
            </numRef>
          </yVal>
          <smooth val="1"/>
        </ser>
        <axId val="10"/>
        <axId val="200"/>
      </scatterChart>
      <valAx>
        <axId val="10"/>
        <scaling>
          <orientation val="minMax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t, с</a:t>
                </a:r>
              </a:p>
            </rich>
          </tx>
        </title>
        <numFmt formatCode="0.000" sourceLinked="0"/>
        <majorTickMark val="none"/>
        <minorTickMark val="none"/>
        <crossAx val="20"/>
      </val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Iр, А</a:t>
                </a:r>
              </a:p>
            </rich>
          </tx>
        </title>
        <numFmt formatCode="0.00" sourceLinked="0"/>
        <majorTickMark val="none"/>
        <minorTickMark val="none"/>
        <crossAx val="10"/>
        <crosses val="min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Uр, В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Заряд при r/2</a:t>
            </a:r>
          </a:p>
        </rich>
      </tx>
    </title>
    <plotArea>
      <scatterChart>
        <scatterStyle val="smoothMarker"/>
        <ser>
          <idx val="0"/>
          <order val="0"/>
          <tx>
            <strRef>
              <f>'Sheet1'!AP9</f>
            </strRef>
          </tx>
          <spPr>
            <a:ln xmlns:a="http://schemas.openxmlformats.org/drawingml/2006/main" w="1905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'Sheet1'!$AO$10:$AO$60</f>
              <numCache>
                <formatCode>General</formatCode>
                <ptCount val="51"/>
                <pt idx="0">
                  <v>0</v>
                </pt>
                <pt idx="1">
                  <v>5e-05</v>
                </pt>
                <pt idx="2">
                  <v>0.0001</v>
                </pt>
                <pt idx="3">
                  <v>0.00015</v>
                </pt>
                <pt idx="4">
                  <v>0.0002</v>
                </pt>
                <pt idx="5">
                  <v>0.00025</v>
                </pt>
                <pt idx="6">
                  <v>0.0003</v>
                </pt>
                <pt idx="7">
                  <v>0.00035</v>
                </pt>
                <pt idx="8">
                  <v>0.0004</v>
                </pt>
                <pt idx="9">
                  <v>0.00045</v>
                </pt>
                <pt idx="10">
                  <v>0.0005</v>
                </pt>
                <pt idx="11">
                  <v>0.00055</v>
                </pt>
                <pt idx="12">
                  <v>0.0006</v>
                </pt>
                <pt idx="13">
                  <v>0.00065</v>
                </pt>
                <pt idx="14">
                  <v>0.0007</v>
                </pt>
                <pt idx="15">
                  <v>0.00075</v>
                </pt>
                <pt idx="16">
                  <v>0.0008</v>
                </pt>
                <pt idx="17">
                  <v>0.00085</v>
                </pt>
                <pt idx="18">
                  <v>0.0009</v>
                </pt>
                <pt idx="19">
                  <v>0.00095</v>
                </pt>
                <pt idx="20">
                  <v>0.001</v>
                </pt>
                <pt idx="21">
                  <v>0.00105</v>
                </pt>
                <pt idx="22">
                  <v>0.0011</v>
                </pt>
                <pt idx="23">
                  <v>0.00115</v>
                </pt>
                <pt idx="24">
                  <v>0.0012</v>
                </pt>
                <pt idx="25">
                  <v>0.00125</v>
                </pt>
                <pt idx="26">
                  <v>0.0013</v>
                </pt>
                <pt idx="27">
                  <v>0.00135</v>
                </pt>
                <pt idx="28">
                  <v>0.0014</v>
                </pt>
                <pt idx="29">
                  <v>0.00145</v>
                </pt>
                <pt idx="30">
                  <v>0.0015</v>
                </pt>
                <pt idx="31">
                  <v>0.00155</v>
                </pt>
                <pt idx="32">
                  <v>0.0016</v>
                </pt>
                <pt idx="33">
                  <v>0.00165</v>
                </pt>
                <pt idx="34">
                  <v>0.0017</v>
                </pt>
                <pt idx="35">
                  <v>0.00175</v>
                </pt>
                <pt idx="36">
                  <v>0.0018</v>
                </pt>
                <pt idx="37">
                  <v>0.00185</v>
                </pt>
                <pt idx="38">
                  <v>0.0019</v>
                </pt>
                <pt idx="39">
                  <v>0.00195</v>
                </pt>
                <pt idx="40">
                  <v>0.002</v>
                </pt>
                <pt idx="41">
                  <v>0.00205</v>
                </pt>
                <pt idx="42">
                  <v>0.0021</v>
                </pt>
                <pt idx="43">
                  <v>0.00215</v>
                </pt>
                <pt idx="44">
                  <v>0.0022</v>
                </pt>
                <pt idx="45">
                  <v>0.00225</v>
                </pt>
                <pt idx="46">
                  <v>0.0023</v>
                </pt>
                <pt idx="47">
                  <v>0.00235</v>
                </pt>
                <pt idx="48">
                  <v>0.0024</v>
                </pt>
                <pt idx="49">
                  <v>0.00245</v>
                </pt>
                <pt idx="50">
                  <v>0.0025</v>
                </pt>
              </numCache>
            </numRef>
          </xVal>
          <yVal>
            <numRef>
              <f>'Sheet1'!$AP$10:$AP$60</f>
              <numCache>
                <formatCode>General</formatCode>
                <ptCount val="51"/>
                <pt idx="0">
                  <v>0</v>
                </pt>
                <pt idx="1">
                  <v>0.393243052317502</v>
                </pt>
                <pt idx="2">
                  <v>0.699501049399763</v>
                </pt>
                <pt idx="3">
                  <v>0.938015017349307</v>
                </pt>
                <pt idx="4">
                  <v>1.12376988236188</v>
                </pt>
                <pt idx="5">
                  <v>1.268435916693</v>
                </pt>
                <pt idx="6">
                  <v>1.3811019375139</v>
                </pt>
                <pt idx="7">
                  <v>1.46884632275476</v>
                </pt>
                <pt idx="8">
                  <v>1.53718171869047</v>
                </pt>
                <pt idx="9">
                  <v>1.59040137855669</v>
                </pt>
                <pt idx="10">
                  <v>1.63184889133529</v>
                </pt>
                <pt idx="11">
                  <v>1.66412824674363</v>
                </pt>
                <pt idx="12">
                  <v>1.68926743401269</v>
                </pt>
                <pt idx="13">
                  <v>1.70884585274361</v>
                </pt>
                <pt idx="14">
                  <v>1.72409354058254</v>
                </pt>
                <pt idx="15">
                  <v>1.73596845181154</v>
                </pt>
                <pt idx="16">
                  <v>1.74521664197558</v>
                </pt>
                <pt idx="17">
                  <v>1.75241913971733</v>
                </pt>
                <pt idx="18">
                  <v>1.75802845059868</v>
                </pt>
                <pt idx="19">
                  <v>1.76239698630556</v>
                </pt>
                <pt idx="20">
                  <v>1.76579920533496</v>
                </pt>
                <pt idx="21">
                  <v>1.76844885617923</v>
                </pt>
                <pt idx="22">
                  <v>1.77051240633162</v>
                </pt>
                <pt idx="23">
                  <v>1.7721195008062</v>
                </pt>
                <pt idx="24">
                  <v>1.77337110724148</v>
                </pt>
                <pt idx="25">
                  <v>1.77434585931337</v>
                </pt>
                <pt idx="26">
                  <v>1.77510499699026</v>
                </pt>
                <pt idx="27">
                  <v>1.77569621400748</v>
                </pt>
                <pt idx="28">
                  <v>1.77615665428346</v>
                </pt>
                <pt idx="29">
                  <v>1.77651524553095</v>
                </pt>
                <pt idx="30">
                  <v>1.77679451667529</v>
                </pt>
                <pt idx="31">
                  <v>1.7770120132612</v>
                </pt>
                <pt idx="32">
                  <v>1.77718139977262</v>
                </pt>
                <pt idx="33">
                  <v>1.77731331812035</v>
                </pt>
                <pt idx="34">
                  <v>1.77741605623287</v>
                </pt>
                <pt idx="35">
                  <v>1.77749606875535</v>
                </pt>
                <pt idx="36">
                  <v>1.77755838257051</v>
                </pt>
                <pt idx="37">
                  <v>1.77760691261856</v>
                </pt>
                <pt idx="38">
                  <v>1.77764470785798</v>
                </pt>
                <pt idx="39">
                  <v>1.77767414282003</v>
                </pt>
                <pt idx="40">
                  <v>1.77769706679153</v>
                </pt>
                <pt idx="41">
                  <v>1.77771491999849</v>
                </pt>
                <pt idx="42">
                  <v>1.77772882409004</v>
                </pt>
                <pt idx="43">
                  <v>1.77773965260744</v>
                </pt>
                <pt idx="44">
                  <v>1.77774808586526</v>
                </pt>
                <pt idx="45">
                  <v>1.77775465369306</v>
                </pt>
                <pt idx="46">
                  <v>1.77775976872249</v>
                </pt>
                <pt idx="47">
                  <v>1.77776375231142</v>
                </pt>
                <pt idx="48">
                  <v>1.77776685473359</v>
                </pt>
                <pt idx="49">
                  <v>1.77776927090241</v>
                </pt>
                <pt idx="50">
                  <v>1.77777115261658</v>
                </pt>
              </numCache>
            </numRef>
          </yVal>
          <smooth val="1"/>
        </ser>
        <axId val="10"/>
        <axId val="100"/>
      </scatterChart>
      <scatterChart>
        <scatterStyle val="smoothMarker"/>
        <ser>
          <idx val="1"/>
          <order val="1"/>
          <tx>
            <strRef>
              <f>'Sheet1'!AQ9</f>
            </strRef>
          </tx>
          <spPr>
            <a:ln xmlns:a="http://schemas.openxmlformats.org/drawingml/2006/main" w="19050">
              <a:solidFill>
                <a:srgbClr val="4472C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'Sheet1'!$AO$10:$AO$60</f>
              <numCache>
                <formatCode>General</formatCode>
                <ptCount val="51"/>
                <pt idx="0">
                  <v>0</v>
                </pt>
                <pt idx="1">
                  <v>5e-05</v>
                </pt>
                <pt idx="2">
                  <v>0.0001</v>
                </pt>
                <pt idx="3">
                  <v>0.00015</v>
                </pt>
                <pt idx="4">
                  <v>0.0002</v>
                </pt>
                <pt idx="5">
                  <v>0.00025</v>
                </pt>
                <pt idx="6">
                  <v>0.0003</v>
                </pt>
                <pt idx="7">
                  <v>0.00035</v>
                </pt>
                <pt idx="8">
                  <v>0.0004</v>
                </pt>
                <pt idx="9">
                  <v>0.00045</v>
                </pt>
                <pt idx="10">
                  <v>0.0005</v>
                </pt>
                <pt idx="11">
                  <v>0.00055</v>
                </pt>
                <pt idx="12">
                  <v>0.0006</v>
                </pt>
                <pt idx="13">
                  <v>0.00065</v>
                </pt>
                <pt idx="14">
                  <v>0.0007</v>
                </pt>
                <pt idx="15">
                  <v>0.00075</v>
                </pt>
                <pt idx="16">
                  <v>0.0008</v>
                </pt>
                <pt idx="17">
                  <v>0.00085</v>
                </pt>
                <pt idx="18">
                  <v>0.0009</v>
                </pt>
                <pt idx="19">
                  <v>0.00095</v>
                </pt>
                <pt idx="20">
                  <v>0.001</v>
                </pt>
                <pt idx="21">
                  <v>0.00105</v>
                </pt>
                <pt idx="22">
                  <v>0.0011</v>
                </pt>
                <pt idx="23">
                  <v>0.00115</v>
                </pt>
                <pt idx="24">
                  <v>0.0012</v>
                </pt>
                <pt idx="25">
                  <v>0.00125</v>
                </pt>
                <pt idx="26">
                  <v>0.0013</v>
                </pt>
                <pt idx="27">
                  <v>0.00135</v>
                </pt>
                <pt idx="28">
                  <v>0.0014</v>
                </pt>
                <pt idx="29">
                  <v>0.00145</v>
                </pt>
                <pt idx="30">
                  <v>0.0015</v>
                </pt>
                <pt idx="31">
                  <v>0.00155</v>
                </pt>
                <pt idx="32">
                  <v>0.0016</v>
                </pt>
                <pt idx="33">
                  <v>0.00165</v>
                </pt>
                <pt idx="34">
                  <v>0.0017</v>
                </pt>
                <pt idx="35">
                  <v>0.00175</v>
                </pt>
                <pt idx="36">
                  <v>0.0018</v>
                </pt>
                <pt idx="37">
                  <v>0.00185</v>
                </pt>
                <pt idx="38">
                  <v>0.0019</v>
                </pt>
                <pt idx="39">
                  <v>0.00195</v>
                </pt>
                <pt idx="40">
                  <v>0.002</v>
                </pt>
                <pt idx="41">
                  <v>0.00205</v>
                </pt>
                <pt idx="42">
                  <v>0.0021</v>
                </pt>
                <pt idx="43">
                  <v>0.00215</v>
                </pt>
                <pt idx="44">
                  <v>0.0022</v>
                </pt>
                <pt idx="45">
                  <v>0.00225</v>
                </pt>
                <pt idx="46">
                  <v>0.0023</v>
                </pt>
                <pt idx="47">
                  <v>0.00235</v>
                </pt>
                <pt idx="48">
                  <v>0.0024</v>
                </pt>
                <pt idx="49">
                  <v>0.00245</v>
                </pt>
                <pt idx="50">
                  <v>0.0025</v>
                </pt>
              </numCache>
            </numRef>
          </xVal>
          <yVal>
            <numRef>
              <f>'Sheet1'!$AQ$10:$AQ$60</f>
              <numCache>
                <formatCode>General</formatCode>
                <ptCount val="51"/>
                <pt idx="0">
                  <v>8</v>
                </pt>
                <pt idx="1">
                  <v>6.23040626457124</v>
                </pt>
                <pt idx="2">
                  <v>4.85224527770107</v>
                </pt>
                <pt idx="3">
                  <v>3.77893242192812</v>
                </pt>
                <pt idx="4">
                  <v>2.94303552937154</v>
                </pt>
                <pt idx="5">
                  <v>2.29203837488152</v>
                </pt>
                <pt idx="6">
                  <v>1.78504128118744</v>
                </pt>
                <pt idx="7">
                  <v>1.39019154760356</v>
                </pt>
                <pt idx="8">
                  <v>1.0826822658929</v>
                </pt>
                <pt idx="9">
                  <v>0.843193796494914</v>
                </pt>
                <pt idx="10">
                  <v>0.65667998899119</v>
                </pt>
                <pt idx="11">
                  <v>0.51142288965366</v>
                </pt>
                <pt idx="12">
                  <v>0.398296546942911</v>
                </pt>
                <pt idx="13">
                  <v>0.310193662653776</v>
                </pt>
                <pt idx="14">
                  <v>0.241579067378548</v>
                </pt>
                <pt idx="15">
                  <v>0.188141966848073</v>
                </pt>
                <pt idx="16">
                  <v>0.146525111109873</v>
                </pt>
                <pt idx="17">
                  <v>0.114113871271994</v>
                </pt>
                <pt idx="18">
                  <v>0.0888719723059384</v>
                </pt>
                <pt idx="19">
                  <v>0.0692135616249651</v>
                </pt>
                <pt idx="20">
                  <v>0.0539035759926837</v>
                </pt>
                <pt idx="21">
                  <v>0.041980147193451</v>
                </pt>
                <pt idx="22">
                  <v>0.0326941715077125</v>
                </pt>
                <pt idx="23">
                  <v>0.0254622463720773</v>
                </pt>
                <pt idx="24">
                  <v>0.0198300174133309</v>
                </pt>
                <pt idx="25">
                  <v>0.0154436330898217</v>
                </pt>
                <pt idx="26">
                  <v>0.0120275135438206</v>
                </pt>
                <pt idx="27">
                  <v>0.00936703696632939</v>
                </pt>
                <pt idx="28">
                  <v>0.00729505572443613</v>
                </pt>
                <pt idx="29">
                  <v>0.00568139511074039</v>
                </pt>
                <pt idx="30">
                  <v>0.00442467496118267</v>
                </pt>
                <pt idx="31">
                  <v>0.0034459403246055</v>
                </pt>
                <pt idx="32">
                  <v>0.00268370102322009</v>
                </pt>
                <pt idx="33">
                  <v>0.00209006845841334</v>
                </pt>
                <pt idx="34">
                  <v>0.00162774695208515</v>
                </pt>
                <pt idx="35">
                  <v>0.00126769060092601</v>
                </pt>
                <pt idx="36">
                  <v>0.000987278432693435</v>
                </pt>
                <pt idx="37">
                  <v>0.000768893216491156</v>
                </pt>
                <pt idx="38">
                  <v>0.000598814639101605</v>
                </pt>
                <pt idx="39">
                  <v>0.00046635730984695</v>
                </pt>
                <pt idx="40">
                  <v>0.000363199438099878</v>
                </pt>
                <pt idx="41">
                  <v>0.000282860006803279</v>
                </pt>
                <pt idx="42">
                  <v>0.000220291594797977</v>
                </pt>
                <pt idx="43">
                  <v>0.000171563266532713</v>
                </pt>
                <pt idx="44">
                  <v>0.000133613606321965</v>
                </pt>
                <pt idx="45">
                  <v>0.000104058381232541</v>
                </pt>
                <pt idx="46">
                  <v>8.10407487890457e-05</v>
                </pt>
                <pt idx="47">
                  <v>6.31145986176017e-05</v>
                </pt>
                <pt idx="48">
                  <v>4.91536988266256e-05</v>
                </pt>
                <pt idx="49">
                  <v>3.82809391370321e-05</v>
                </pt>
                <pt idx="50">
                  <v>2.98132253766294e-05</v>
                </pt>
              </numCache>
            </numRef>
          </yVal>
          <smooth val="1"/>
        </ser>
        <axId val="10"/>
        <axId val="200"/>
      </scatterChart>
      <valAx>
        <axId val="10"/>
        <scaling>
          <orientation val="minMax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t, с</a:t>
                </a:r>
              </a:p>
            </rich>
          </tx>
        </title>
        <numFmt formatCode="0.000" sourceLinked="0"/>
        <majorTickMark val="none"/>
        <minorTickMark val="none"/>
        <crossAx val="20"/>
      </val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Iз, А</a:t>
                </a:r>
              </a:p>
            </rich>
          </tx>
        </title>
        <numFmt formatCode="0.00" sourceLinked="0"/>
        <majorTickMark val="none"/>
        <minorTickMark val="none"/>
        <crossAx val="10"/>
        <crosses val="min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Uз, В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Разряд при R/10</a:t>
            </a:r>
          </a:p>
        </rich>
      </tx>
    </title>
    <plotArea>
      <scatterChart>
        <scatterStyle val="smoothMarker"/>
        <ser>
          <idx val="0"/>
          <order val="0"/>
          <tx>
            <strRef>
              <f>'Sheet1'!AR9</f>
            </strRef>
          </tx>
          <spPr>
            <a:ln xmlns:a="http://schemas.openxmlformats.org/drawingml/2006/main" w="1905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'Sheet1'!$AO$10:$AO$60</f>
              <numCache>
                <formatCode>General</formatCode>
                <ptCount val="51"/>
                <pt idx="0">
                  <v>0</v>
                </pt>
                <pt idx="1">
                  <v>5e-05</v>
                </pt>
                <pt idx="2">
                  <v>0.0001</v>
                </pt>
                <pt idx="3">
                  <v>0.00015</v>
                </pt>
                <pt idx="4">
                  <v>0.0002</v>
                </pt>
                <pt idx="5">
                  <v>0.00025</v>
                </pt>
                <pt idx="6">
                  <v>0.0003</v>
                </pt>
                <pt idx="7">
                  <v>0.00035</v>
                </pt>
                <pt idx="8">
                  <v>0.0004</v>
                </pt>
                <pt idx="9">
                  <v>0.00045</v>
                </pt>
                <pt idx="10">
                  <v>0.0005</v>
                </pt>
                <pt idx="11">
                  <v>0.00055</v>
                </pt>
                <pt idx="12">
                  <v>0.0006</v>
                </pt>
                <pt idx="13">
                  <v>0.00065</v>
                </pt>
                <pt idx="14">
                  <v>0.0007</v>
                </pt>
                <pt idx="15">
                  <v>0.00075</v>
                </pt>
                <pt idx="16">
                  <v>0.0008</v>
                </pt>
                <pt idx="17">
                  <v>0.00085</v>
                </pt>
                <pt idx="18">
                  <v>0.0009</v>
                </pt>
                <pt idx="19">
                  <v>0.00095</v>
                </pt>
                <pt idx="20">
                  <v>0.001</v>
                </pt>
                <pt idx="21">
                  <v>0.00105</v>
                </pt>
                <pt idx="22">
                  <v>0.0011</v>
                </pt>
                <pt idx="23">
                  <v>0.00115</v>
                </pt>
                <pt idx="24">
                  <v>0.0012</v>
                </pt>
                <pt idx="25">
                  <v>0.00125</v>
                </pt>
                <pt idx="26">
                  <v>0.0013</v>
                </pt>
                <pt idx="27">
                  <v>0.00135</v>
                </pt>
                <pt idx="28">
                  <v>0.0014</v>
                </pt>
                <pt idx="29">
                  <v>0.00145</v>
                </pt>
                <pt idx="30">
                  <v>0.0015</v>
                </pt>
                <pt idx="31">
                  <v>0.00155</v>
                </pt>
                <pt idx="32">
                  <v>0.0016</v>
                </pt>
                <pt idx="33">
                  <v>0.00165</v>
                </pt>
                <pt idx="34">
                  <v>0.0017</v>
                </pt>
                <pt idx="35">
                  <v>0.00175</v>
                </pt>
                <pt idx="36">
                  <v>0.0018</v>
                </pt>
                <pt idx="37">
                  <v>0.00185</v>
                </pt>
                <pt idx="38">
                  <v>0.0019</v>
                </pt>
                <pt idx="39">
                  <v>0.00195</v>
                </pt>
                <pt idx="40">
                  <v>0.002</v>
                </pt>
                <pt idx="41">
                  <v>0.00205</v>
                </pt>
                <pt idx="42">
                  <v>0.0021</v>
                </pt>
                <pt idx="43">
                  <v>0.00215</v>
                </pt>
                <pt idx="44">
                  <v>0.0022</v>
                </pt>
                <pt idx="45">
                  <v>0.00225</v>
                </pt>
                <pt idx="46">
                  <v>0.0023</v>
                </pt>
                <pt idx="47">
                  <v>0.00235</v>
                </pt>
                <pt idx="48">
                  <v>0.0024</v>
                </pt>
                <pt idx="49">
                  <v>0.00245</v>
                </pt>
                <pt idx="50">
                  <v>0.0025</v>
                </pt>
              </numCache>
            </numRef>
          </xVal>
          <yVal>
            <numRef>
              <f>'Sheet1'!$AR$10:$AR$60</f>
              <numCache>
                <formatCode>General</formatCode>
                <ptCount val="51"/>
                <pt idx="0">
                  <v>0.666666666666667</v>
                </pt>
                <pt idx="1">
                  <v>0.342278079355061</v>
                </pt>
                <pt idx="2">
                  <v>0.175731425410484</v>
                </pt>
                <pt idx="3">
                  <v>0.0902235221577417</v>
                </pt>
                <pt idx="4">
                  <v>0.046322300815201</v>
                </pt>
                <pt idx="5">
                  <v>0.0237826622315016</v>
                </pt>
                <pt idx="6">
                  <v>0.0122104259258228</v>
                </pt>
                <pt idx="7">
                  <v>0.00626904170099681</v>
                </pt>
                <pt idx="8">
                  <v>0.00321863332922096</v>
                </pt>
                <pt idx="9">
                  <v>0.0016525014511109</v>
                </pt>
                <pt idx="10">
                  <v>0.000848422534226539</v>
                </pt>
                <pt idx="11">
                  <v>0.00043559465324492</v>
                </pt>
                <pt idx="12">
                  <v>0.000223641751935007</v>
                </pt>
                <pt idx="13">
                  <v>0.000114821503973873</v>
                </pt>
                <pt idx="14">
                  <v>5.89513257732555e-05</v>
                </pt>
                <pt idx="15">
                  <v>3.02666198416565e-05</v>
                </pt>
                <pt idx="16">
                  <v>1.5539400761958e-05</v>
                </pt>
                <pt idx="17">
                  <v>7.97819437069734e-06</v>
                </pt>
                <pt idx="18">
                  <v>4.09614156888547e-06</v>
                </pt>
                <pt idx="19">
                  <v>2.10302920344682e-06</v>
                </pt>
                <pt idx="20">
                  <v>1.07973119487507e-06</v>
                </pt>
                <pt idx="21">
                  <v>5.54352479402378e-07</v>
                </pt>
                <pt idx="22">
                  <v>2.84614052903343e-07</v>
                </pt>
                <pt idx="23">
                  <v>1.46125727077824e-07</v>
                </pt>
                <pt idx="24">
                  <v>7.50234498128391e-08</v>
                </pt>
                <pt idx="25">
                  <v>3.85183234627942e-08</v>
                </pt>
                <pt idx="26">
                  <v>1.97759666622333e-08</v>
                </pt>
                <pt idx="27">
                  <v>1.01533198298084e-08</v>
                </pt>
                <pt idx="28">
                  <v>5.21288821563674e-09</v>
                </pt>
                <pt idx="29">
                  <v>2.67638604951115e-09</v>
                </pt>
                <pt idx="30">
                  <v>1.37410241495903e-09</v>
                </pt>
                <pt idx="31">
                  <v>7.05487703143996e-10</v>
                </pt>
                <pt idx="32">
                  <v>3.6220946406111e-10</v>
                </pt>
                <pt idx="33">
                  <v>1.85964539524595e-10</v>
                </pt>
                <pt idx="34">
                  <v>9.547737812494e-11</v>
                </pt>
                <pt idx="35">
                  <v>4.90197204096921e-11</v>
                </pt>
                <pt idx="36">
                  <v>2.51675636285272e-11</v>
                </pt>
                <pt idx="37">
                  <v>1.29214580112279e-11</v>
                </pt>
                <pt idx="38">
                  <v>6.63409774582524e-12</v>
                </pt>
                <pt idx="39">
                  <v>3.40605935204222e-12</v>
                </pt>
                <pt idx="40">
                  <v>1.74872917977953e-12</v>
                </pt>
                <pt idx="41">
                  <v>8.9782749745063e-13</v>
                </pt>
                <pt idx="42">
                  <v>4.60960007129345e-13</v>
                </pt>
                <pt idx="43">
                  <v>2.36664758849592e-13</v>
                </pt>
                <pt idx="44">
                  <v>1.21507738665101e-13</v>
                </pt>
                <pt idx="45">
                  <v>6.23841531256009e-14</v>
                </pt>
                <pt idx="46">
                  <v>3.20290921710342e-14</v>
                </pt>
                <pt idx="47">
                  <v>1.64442842276817e-14</v>
                </pt>
                <pt idx="48">
                  <v>8.44277703272939e-15</v>
                </pt>
                <pt idx="49">
                  <v>4.3346662607785e-15</v>
                </pt>
                <pt idx="50">
                  <v>2.22549186357667e-15</v>
                </pt>
              </numCache>
            </numRef>
          </yVal>
          <smooth val="1"/>
        </ser>
        <axId val="10"/>
        <axId val="100"/>
      </scatterChart>
      <scatterChart>
        <scatterStyle val="smoothMarker"/>
        <ser>
          <idx val="1"/>
          <order val="1"/>
          <tx>
            <strRef>
              <f>'Sheet1'!AS9</f>
            </strRef>
          </tx>
          <spPr>
            <a:ln xmlns:a="http://schemas.openxmlformats.org/drawingml/2006/main" w="19050">
              <a:solidFill>
                <a:srgbClr val="4472C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'Sheet1'!$AO$10:$AO$60</f>
              <numCache>
                <formatCode>General</formatCode>
                <ptCount val="51"/>
                <pt idx="0">
                  <v>0</v>
                </pt>
                <pt idx="1">
                  <v>5e-05</v>
                </pt>
                <pt idx="2">
                  <v>0.0001</v>
                </pt>
                <pt idx="3">
                  <v>0.00015</v>
                </pt>
                <pt idx="4">
                  <v>0.0002</v>
                </pt>
                <pt idx="5">
                  <v>0.00025</v>
                </pt>
                <pt idx="6">
                  <v>0.0003</v>
                </pt>
                <pt idx="7">
                  <v>0.00035</v>
                </pt>
                <pt idx="8">
                  <v>0.0004</v>
                </pt>
                <pt idx="9">
                  <v>0.00045</v>
                </pt>
                <pt idx="10">
                  <v>0.0005</v>
                </pt>
                <pt idx="11">
                  <v>0.00055</v>
                </pt>
                <pt idx="12">
                  <v>0.0006</v>
                </pt>
                <pt idx="13">
                  <v>0.00065</v>
                </pt>
                <pt idx="14">
                  <v>0.0007</v>
                </pt>
                <pt idx="15">
                  <v>0.00075</v>
                </pt>
                <pt idx="16">
                  <v>0.0008</v>
                </pt>
                <pt idx="17">
                  <v>0.00085</v>
                </pt>
                <pt idx="18">
                  <v>0.0009</v>
                </pt>
                <pt idx="19">
                  <v>0.00095</v>
                </pt>
                <pt idx="20">
                  <v>0.001</v>
                </pt>
                <pt idx="21">
                  <v>0.00105</v>
                </pt>
                <pt idx="22">
                  <v>0.0011</v>
                </pt>
                <pt idx="23">
                  <v>0.00115</v>
                </pt>
                <pt idx="24">
                  <v>0.0012</v>
                </pt>
                <pt idx="25">
                  <v>0.00125</v>
                </pt>
                <pt idx="26">
                  <v>0.0013</v>
                </pt>
                <pt idx="27">
                  <v>0.00135</v>
                </pt>
                <pt idx="28">
                  <v>0.0014</v>
                </pt>
                <pt idx="29">
                  <v>0.00145</v>
                </pt>
                <pt idx="30">
                  <v>0.0015</v>
                </pt>
                <pt idx="31">
                  <v>0.00155</v>
                </pt>
                <pt idx="32">
                  <v>0.0016</v>
                </pt>
                <pt idx="33">
                  <v>0.00165</v>
                </pt>
                <pt idx="34">
                  <v>0.0017</v>
                </pt>
                <pt idx="35">
                  <v>0.00175</v>
                </pt>
                <pt idx="36">
                  <v>0.0018</v>
                </pt>
                <pt idx="37">
                  <v>0.00185</v>
                </pt>
                <pt idx="38">
                  <v>0.0019</v>
                </pt>
                <pt idx="39">
                  <v>0.00195</v>
                </pt>
                <pt idx="40">
                  <v>0.002</v>
                </pt>
                <pt idx="41">
                  <v>0.00205</v>
                </pt>
                <pt idx="42">
                  <v>0.0021</v>
                </pt>
                <pt idx="43">
                  <v>0.00215</v>
                </pt>
                <pt idx="44">
                  <v>0.0022</v>
                </pt>
                <pt idx="45">
                  <v>0.00225</v>
                </pt>
                <pt idx="46">
                  <v>0.0023</v>
                </pt>
                <pt idx="47">
                  <v>0.00235</v>
                </pt>
                <pt idx="48">
                  <v>0.0024</v>
                </pt>
                <pt idx="49">
                  <v>0.00245</v>
                </pt>
                <pt idx="50">
                  <v>0.0025</v>
                </pt>
              </numCache>
            </numRef>
          </xVal>
          <yVal>
            <numRef>
              <f>'Sheet1'!$AS$10:$AS$60</f>
              <numCache>
                <formatCode>General</formatCode>
                <ptCount val="51"/>
                <pt idx="0">
                  <v>-8</v>
                </pt>
                <pt idx="1">
                  <v>-4.10733695226074</v>
                </pt>
                <pt idx="2">
                  <v>-2.10877710492581</v>
                </pt>
                <pt idx="3">
                  <v>-1.0826822658929</v>
                </pt>
                <pt idx="4">
                  <v>-0.555867609782412</v>
                </pt>
                <pt idx="5">
                  <v>-0.285391946778019</v>
                </pt>
                <pt idx="6">
                  <v>-0.146525111109873</v>
                </pt>
                <pt idx="7">
                  <v>-0.0752285004119617</v>
                </pt>
                <pt idx="8">
                  <v>-0.0386235999506515</v>
                </pt>
                <pt idx="9">
                  <v>-0.0198300174133309</v>
                </pt>
                <pt idx="10">
                  <v>-0.0101810704107185</v>
                </pt>
                <pt idx="11">
                  <v>-0.00522713583893904</v>
                </pt>
                <pt idx="12">
                  <v>-0.00268370102322009</v>
                </pt>
                <pt idx="13">
                  <v>-0.00137785804768648</v>
                </pt>
                <pt idx="14">
                  <v>-0.000707415909279065</v>
                </pt>
                <pt idx="15">
                  <v>-0.000363199438099878</v>
                </pt>
                <pt idx="16">
                  <v>-0.000186472809143496</v>
                </pt>
                <pt idx="17">
                  <v>-9.57383324483681e-05</v>
                </pt>
                <pt idx="18">
                  <v>-4.91536988266256e-05</v>
                </pt>
                <pt idx="19">
                  <v>-2.52363504413618e-05</v>
                </pt>
                <pt idx="20">
                  <v>-1.29567743385009e-05</v>
                </pt>
                <pt idx="21">
                  <v>-6.65222975282853e-06</v>
                </pt>
                <pt idx="22">
                  <v>-3.41536863484012e-06</v>
                </pt>
                <pt idx="23">
                  <v>-1.75350872493389e-06</v>
                </pt>
                <pt idx="24">
                  <v>-9.0028139775407e-07</v>
                </pt>
                <pt idx="25">
                  <v>-4.62219881553531e-07</v>
                </pt>
                <pt idx="26">
                  <v>-2.37311599946799e-07</v>
                </pt>
                <pt idx="27">
                  <v>-1.21839837957701e-07</v>
                </pt>
                <pt idx="28">
                  <v>-6.25546585876409e-08</v>
                </pt>
                <pt idx="29">
                  <v>-3.21166325941338e-08</v>
                </pt>
                <pt idx="30">
                  <v>-1.64892289795084e-08</v>
                </pt>
                <pt idx="31">
                  <v>-8.46585243772795e-09</v>
                </pt>
                <pt idx="32">
                  <v>-4.34651356873333e-09</v>
                </pt>
                <pt idx="33">
                  <v>-2.23157447429514e-09</v>
                </pt>
                <pt idx="34">
                  <v>-1.14572853749928e-09</v>
                </pt>
                <pt idx="35">
                  <v>-5.88236644916305e-10</v>
                </pt>
                <pt idx="36">
                  <v>-3.02010763542327e-10</v>
                </pt>
                <pt idx="37">
                  <v>-1.55057496134735e-10</v>
                </pt>
                <pt idx="38">
                  <v>-7.96091729499029e-11</v>
                </pt>
                <pt idx="39">
                  <v>-4.08727122245066e-11</v>
                </pt>
                <pt idx="40">
                  <v>-2.09847501573544e-11</v>
                </pt>
                <pt idx="41">
                  <v>-1.07739299694076e-11</v>
                </pt>
                <pt idx="42">
                  <v>-5.53152008555214e-12</v>
                </pt>
                <pt idx="43">
                  <v>-2.8399771061951e-12</v>
                </pt>
                <pt idx="44">
                  <v>-1.45809286398121e-12</v>
                </pt>
                <pt idx="45">
                  <v>-7.48609837507211e-13</v>
                </pt>
                <pt idx="46">
                  <v>-3.8434910605241e-13</v>
                </pt>
                <pt idx="47">
                  <v>-1.9733141073218e-13</v>
                </pt>
                <pt idx="48">
                  <v>-1.01313324392753e-13</v>
                </pt>
                <pt idx="49">
                  <v>-5.2015995129342e-14</v>
                </pt>
                <pt idx="50">
                  <v>-2.670590236292e-14</v>
                </pt>
              </numCache>
            </numRef>
          </yVal>
          <smooth val="1"/>
        </ser>
        <axId val="10"/>
        <axId val="200"/>
      </scatterChart>
      <valAx>
        <axId val="10"/>
        <scaling>
          <orientation val="minMax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t, с</a:t>
                </a:r>
              </a:p>
            </rich>
          </tx>
        </title>
        <numFmt formatCode="0.000" sourceLinked="0"/>
        <majorTickMark val="none"/>
        <minorTickMark val="none"/>
        <crossAx val="20"/>
      </val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Iр, А</a:t>
                </a:r>
              </a:p>
            </rich>
          </tx>
        </title>
        <numFmt formatCode="0.00" sourceLinked="0"/>
        <majorTickMark val="none"/>
        <minorTickMark val="none"/>
        <crossAx val="10"/>
        <crosses val="min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Uр, В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6</col>
      <colOff>0</colOff>
      <row>11</row>
      <rowOff>0</rowOff>
    </from>
    <ext cx="50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27</row>
      <rowOff>0</rowOff>
    </from>
    <ext cx="504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25</col>
      <colOff>0</colOff>
      <row>11</row>
      <rowOff>0</rowOff>
    </from>
    <ext cx="504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25</col>
      <colOff>0</colOff>
      <row>27</row>
      <rowOff>0</rowOff>
    </from>
    <ext cx="504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46</col>
      <colOff>0</colOff>
      <row>11</row>
      <rowOff>0</rowOff>
    </from>
    <ext cx="5040000" cy="32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46</col>
      <colOff>0</colOff>
      <row>27</row>
      <rowOff>0</rowOff>
    </from>
    <ext cx="5040000" cy="32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U106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4" customWidth="1" min="4" max="4"/>
    <col width="14" customWidth="1" min="5" max="5"/>
    <col width="22" customWidth="1" min="6" max="6"/>
    <col width="14" customWidth="1" min="7" max="7"/>
    <col width="14" customWidth="1" min="20" max="20"/>
    <col width="16" customWidth="1" min="21" max="21"/>
    <col width="12" customWidth="1" min="22" max="22"/>
    <col width="14" customWidth="1" min="23" max="23"/>
    <col width="14" customWidth="1" min="24" max="24"/>
    <col width="22" customWidth="1" min="25" max="25"/>
    <col width="14" customWidth="1" min="26" max="26"/>
    <col width="14" customWidth="1" min="41" max="41"/>
    <col width="16" customWidth="1" min="42" max="42"/>
    <col width="12" customWidth="1" min="43" max="43"/>
    <col width="14" customWidth="1" min="44" max="44"/>
    <col width="14" customWidth="1" min="45" max="45"/>
    <col width="22" customWidth="1" min="46" max="46"/>
    <col width="14" customWidth="1" min="47" max="47"/>
  </cols>
  <sheetData>
    <row r="1">
      <c r="A1" s="1" t="inlineStr">
        <is>
          <t>Исходные данные</t>
        </is>
      </c>
      <c r="B1" s="2" t="n"/>
      <c r="C1" s="2" t="n"/>
      <c r="F1" s="3" t="inlineStr">
        <is>
          <t>Базовый режим</t>
        </is>
      </c>
      <c r="T1" s="1" t="inlineStr">
        <is>
          <t>Исходные данные</t>
        </is>
      </c>
      <c r="U1" s="2" t="n"/>
      <c r="V1" s="2" t="n"/>
      <c r="Y1" s="3" t="inlineStr">
        <is>
          <t>L меньше в 3 раза</t>
        </is>
      </c>
      <c r="AO1" s="1" t="inlineStr">
        <is>
          <t>Исходные данные</t>
        </is>
      </c>
      <c r="AP1" s="2" t="n"/>
      <c r="AQ1" s="2" t="n"/>
      <c r="AT1" s="3" t="inlineStr">
        <is>
          <t>r/2 и R/10</t>
        </is>
      </c>
    </row>
    <row r="2">
      <c r="A2" s="4" t="inlineStr">
        <is>
          <t>Величина</t>
        </is>
      </c>
      <c r="B2" s="4" t="inlineStr">
        <is>
          <t>Значение</t>
        </is>
      </c>
      <c r="C2" s="4" t="inlineStr">
        <is>
          <t>Размерность</t>
        </is>
      </c>
      <c r="F2" t="inlineStr">
        <is>
          <t>Δt</t>
        </is>
      </c>
      <c r="G2" s="5" t="n">
        <v>5e-05</v>
      </c>
      <c r="T2" s="4" t="inlineStr">
        <is>
          <t>Величина</t>
        </is>
      </c>
      <c r="U2" s="4" t="inlineStr">
        <is>
          <t>Значение</t>
        </is>
      </c>
      <c r="V2" s="4" t="inlineStr">
        <is>
          <t>Размерность</t>
        </is>
      </c>
      <c r="Y2" t="inlineStr">
        <is>
          <t>Δt</t>
        </is>
      </c>
      <c r="Z2" s="5" t="n">
        <v>5e-05</v>
      </c>
      <c r="AO2" s="4" t="inlineStr">
        <is>
          <t>Величина</t>
        </is>
      </c>
      <c r="AP2" s="4" t="inlineStr">
        <is>
          <t>Значение</t>
        </is>
      </c>
      <c r="AQ2" s="4" t="inlineStr">
        <is>
          <t>Размерность</t>
        </is>
      </c>
      <c r="AT2" t="inlineStr">
        <is>
          <t>Δt</t>
        </is>
      </c>
      <c r="AU2" s="5" t="n">
        <v>5e-05</v>
      </c>
    </row>
    <row r="3">
      <c r="A3" s="6" t="inlineStr">
        <is>
          <t>E</t>
        </is>
      </c>
      <c r="B3" s="7" t="n">
        <v>8</v>
      </c>
      <c r="C3" s="8" t="inlineStr">
        <is>
          <t>В</t>
        </is>
      </c>
      <c r="F3" t="inlineStr">
        <is>
          <t>шаг</t>
        </is>
      </c>
      <c r="G3" t="inlineStr">
        <is>
          <t>с</t>
        </is>
      </c>
      <c r="T3" s="6" t="inlineStr">
        <is>
          <t>E</t>
        </is>
      </c>
      <c r="U3" s="7" t="n">
        <v>8</v>
      </c>
      <c r="V3" s="8" t="inlineStr">
        <is>
          <t>В</t>
        </is>
      </c>
      <c r="Y3" t="inlineStr">
        <is>
          <t>шаг</t>
        </is>
      </c>
      <c r="Z3" t="inlineStr">
        <is>
          <t>с</t>
        </is>
      </c>
      <c r="AO3" s="6" t="inlineStr">
        <is>
          <t>E</t>
        </is>
      </c>
      <c r="AP3" s="7" t="n">
        <v>8</v>
      </c>
      <c r="AQ3" s="8" t="inlineStr">
        <is>
          <t>В</t>
        </is>
      </c>
      <c r="AT3" t="inlineStr">
        <is>
          <t>шаг</t>
        </is>
      </c>
      <c r="AU3" t="inlineStr">
        <is>
          <t>с</t>
        </is>
      </c>
    </row>
    <row r="4">
      <c r="A4" s="6" t="inlineStr">
        <is>
          <t>r</t>
        </is>
      </c>
      <c r="B4" s="7" t="n">
        <v>9</v>
      </c>
      <c r="C4" s="8" t="inlineStr">
        <is>
          <t>Ом</t>
        </is>
      </c>
      <c r="F4" s="9" t="inlineStr">
        <is>
          <t>Заряд: ключ на источник через r.
Разряд: контур L–R, I(0)=E/R.</t>
        </is>
      </c>
      <c r="T4" s="6" t="inlineStr">
        <is>
          <t>r</t>
        </is>
      </c>
      <c r="U4" s="7" t="n">
        <v>9</v>
      </c>
      <c r="V4" s="8" t="inlineStr">
        <is>
          <t>Ом</t>
        </is>
      </c>
      <c r="Y4" s="9" t="inlineStr">
        <is>
          <t>τз=L/r уменьшается → ток нарастает быстрее.</t>
        </is>
      </c>
      <c r="AO4" s="6" t="inlineStr">
        <is>
          <t>r</t>
        </is>
      </c>
      <c r="AP4" s="7" t="n">
        <v>4.5</v>
      </c>
      <c r="AQ4" s="8" t="inlineStr">
        <is>
          <t>Ом</t>
        </is>
      </c>
      <c r="AT4" s="9" t="inlineStr">
        <is>
          <t>E/r растёт, τз=L/r растёт.
Разряд через меньшее R.</t>
        </is>
      </c>
    </row>
    <row r="5">
      <c r="A5" s="6" t="inlineStr">
        <is>
          <t>R</t>
        </is>
      </c>
      <c r="B5" s="7" t="n">
        <v>120</v>
      </c>
      <c r="C5" s="8" t="inlineStr">
        <is>
          <t>Ом</t>
        </is>
      </c>
      <c r="T5" s="6" t="inlineStr">
        <is>
          <t>R</t>
        </is>
      </c>
      <c r="U5" s="7" t="n">
        <v>120</v>
      </c>
      <c r="V5" s="8" t="inlineStr">
        <is>
          <t>Ом</t>
        </is>
      </c>
      <c r="AO5" s="6" t="inlineStr">
        <is>
          <t>R</t>
        </is>
      </c>
      <c r="AP5" s="7" t="n">
        <v>12</v>
      </c>
      <c r="AQ5" s="8" t="inlineStr">
        <is>
          <t>Ом</t>
        </is>
      </c>
    </row>
    <row r="6">
      <c r="A6" s="6" t="inlineStr">
        <is>
          <t>L</t>
        </is>
      </c>
      <c r="B6" s="10">
        <f>POWER(10,-4)*9</f>
        <v/>
      </c>
      <c r="C6" s="8" t="inlineStr">
        <is>
          <t>Гн</t>
        </is>
      </c>
      <c r="T6" s="6" t="inlineStr">
        <is>
          <t>L</t>
        </is>
      </c>
      <c r="U6" s="10">
        <f>POWER(10,-4)*3</f>
        <v/>
      </c>
      <c r="V6" s="8" t="inlineStr">
        <is>
          <t>Гн</t>
        </is>
      </c>
      <c r="AO6" s="6" t="inlineStr">
        <is>
          <t>L</t>
        </is>
      </c>
      <c r="AP6" s="10">
        <f>POWER(10,-4)*9</f>
        <v/>
      </c>
      <c r="AQ6" s="8" t="inlineStr">
        <is>
          <t>Гн</t>
        </is>
      </c>
    </row>
    <row r="7">
      <c r="A7" s="11" t="inlineStr">
        <is>
          <t>τз = L/r</t>
        </is>
      </c>
      <c r="B7" s="12">
        <f>B6/B4</f>
        <v/>
      </c>
      <c r="C7" s="11" t="inlineStr">
        <is>
          <t>с</t>
        </is>
      </c>
      <c r="T7" s="11" t="inlineStr">
        <is>
          <t>τз = L/r</t>
        </is>
      </c>
      <c r="U7" s="12">
        <f>U6/U4</f>
        <v/>
      </c>
      <c r="V7" s="11" t="inlineStr">
        <is>
          <t>с</t>
        </is>
      </c>
      <c r="AO7" s="11" t="inlineStr">
        <is>
          <t>τз = L/r</t>
        </is>
      </c>
      <c r="AP7" s="12">
        <f>AP6/AP4</f>
        <v/>
      </c>
      <c r="AQ7" s="11" t="inlineStr">
        <is>
          <t>с</t>
        </is>
      </c>
    </row>
    <row r="8">
      <c r="A8" s="11" t="inlineStr">
        <is>
          <t>τр = L/R</t>
        </is>
      </c>
      <c r="B8" s="12">
        <f>B6/B5</f>
        <v/>
      </c>
      <c r="C8" s="11" t="inlineStr">
        <is>
          <t>с</t>
        </is>
      </c>
      <c r="T8" s="11" t="inlineStr">
        <is>
          <t>τр = L/R</t>
        </is>
      </c>
      <c r="U8" s="12">
        <f>U6/U5</f>
        <v/>
      </c>
      <c r="V8" s="11" t="inlineStr">
        <is>
          <t>с</t>
        </is>
      </c>
      <c r="AO8" s="11" t="inlineStr">
        <is>
          <t>τр = L/R</t>
        </is>
      </c>
      <c r="AP8" s="12">
        <f>AP6/AP5</f>
        <v/>
      </c>
      <c r="AQ8" s="11" t="inlineStr">
        <is>
          <t>с</t>
        </is>
      </c>
    </row>
    <row r="9">
      <c r="A9" s="1" t="inlineStr">
        <is>
          <t>t, c</t>
        </is>
      </c>
      <c r="B9" s="3" t="inlineStr">
        <is>
          <t>Iз, А</t>
        </is>
      </c>
      <c r="C9" s="4" t="inlineStr">
        <is>
          <t>Uз, В</t>
        </is>
      </c>
      <c r="D9" s="3" t="inlineStr">
        <is>
          <t>Iр, А</t>
        </is>
      </c>
      <c r="E9" s="4" t="inlineStr">
        <is>
          <t>Uр, В</t>
        </is>
      </c>
      <c r="T9" s="1" t="inlineStr">
        <is>
          <t>t, c</t>
        </is>
      </c>
      <c r="U9" s="3" t="inlineStr">
        <is>
          <t>Iз, А</t>
        </is>
      </c>
      <c r="V9" s="4" t="inlineStr">
        <is>
          <t>Uз, В</t>
        </is>
      </c>
      <c r="W9" s="3" t="inlineStr">
        <is>
          <t>Iр, А</t>
        </is>
      </c>
      <c r="X9" s="4" t="inlineStr">
        <is>
          <t>Uр, В</t>
        </is>
      </c>
      <c r="AO9" s="1" t="inlineStr">
        <is>
          <t>t, c</t>
        </is>
      </c>
      <c r="AP9" s="3" t="inlineStr">
        <is>
          <t>Iз, А</t>
        </is>
      </c>
      <c r="AQ9" s="4" t="inlineStr">
        <is>
          <t>Uз, В</t>
        </is>
      </c>
      <c r="AR9" s="3" t="inlineStr">
        <is>
          <t>Iр, А</t>
        </is>
      </c>
      <c r="AS9" s="4" t="inlineStr">
        <is>
          <t>Uр, В</t>
        </is>
      </c>
    </row>
    <row r="10">
      <c r="A10" s="13" t="n">
        <v>0</v>
      </c>
      <c r="B10" s="14">
        <f>($B$3/$B$4)*(1-EXP(-A10*$B$4/$B$6))</f>
        <v/>
      </c>
      <c r="C10" s="14">
        <f>$B$3*EXP(-A10*$B$4/$B$6)</f>
        <v/>
      </c>
      <c r="D10" s="15">
        <f>($B$3/$B$5)*EXP(-A10*$B$5/$B$6)</f>
        <v/>
      </c>
      <c r="E10" s="15">
        <f>-$B$3*EXP(-A10*$B$5/$B$6)</f>
        <v/>
      </c>
      <c r="T10" s="13" t="n">
        <v>0</v>
      </c>
      <c r="U10" s="14">
        <f>($U$3/$U$4)*(1-EXP(-T10*$U$4/$U$6))</f>
        <v/>
      </c>
      <c r="V10" s="14">
        <f>$U$3*EXP(-T10*$U$4/$U$6)</f>
        <v/>
      </c>
      <c r="W10" s="15">
        <f>($U$3/$U$5)*EXP(-T10*$U$5/$U$6)</f>
        <v/>
      </c>
      <c r="X10" s="15">
        <f>-$U$3*EXP(-T10*$U$5/$U$6)</f>
        <v/>
      </c>
      <c r="AO10" s="13" t="n">
        <v>0</v>
      </c>
      <c r="AP10" s="14">
        <f>($AP$3/$AP$4)*(1-EXP(-AO10*$AP$4/$AP$6))</f>
        <v/>
      </c>
      <c r="AQ10" s="14">
        <f>$AP$3*EXP(-AO10*$AP$4/$AP$6)</f>
        <v/>
      </c>
      <c r="AR10" s="15">
        <f>($AP$3/$AP$5)*EXP(-AO10*$AP$5/$AP$6)</f>
        <v/>
      </c>
      <c r="AS10" s="15">
        <f>-$AP$3*EXP(-AO10*$AP$5/$AP$6)</f>
        <v/>
      </c>
    </row>
    <row r="11">
      <c r="A11" s="13">
        <f>A10+$G$2</f>
        <v/>
      </c>
      <c r="B11" s="14">
        <f>($B$3/$B$4)*(1-EXP(-A11*$B$4/$B$6))</f>
        <v/>
      </c>
      <c r="C11" s="14">
        <f>$B$3*EXP(-A11*$B$4/$B$6)</f>
        <v/>
      </c>
      <c r="D11" s="15">
        <f>($B$3/$B$5)*EXP(-A11*$B$5/$B$6)</f>
        <v/>
      </c>
      <c r="E11" s="15">
        <f>-$B$3*EXP(-A11*$B$5/$B$6)</f>
        <v/>
      </c>
      <c r="T11" s="13">
        <f>T10+$Z$2</f>
        <v/>
      </c>
      <c r="U11" s="14">
        <f>($U$3/$U$4)*(1-EXP(-T11*$U$4/$U$6))</f>
        <v/>
      </c>
      <c r="V11" s="14">
        <f>$U$3*EXP(-T11*$U$4/$U$6)</f>
        <v/>
      </c>
      <c r="W11" s="15">
        <f>($U$3/$U$5)*EXP(-T11*$U$5/$U$6)</f>
        <v/>
      </c>
      <c r="X11" s="15">
        <f>-$U$3*EXP(-T11*$U$5/$U$6)</f>
        <v/>
      </c>
      <c r="AO11" s="13">
        <f>AO10+$AU$2</f>
        <v/>
      </c>
      <c r="AP11" s="14">
        <f>($AP$3/$AP$4)*(1-EXP(-AO11*$AP$4/$AP$6))</f>
        <v/>
      </c>
      <c r="AQ11" s="14">
        <f>$AP$3*EXP(-AO11*$AP$4/$AP$6)</f>
        <v/>
      </c>
      <c r="AR11" s="15">
        <f>($AP$3/$AP$5)*EXP(-AO11*$AP$5/$AP$6)</f>
        <v/>
      </c>
      <c r="AS11" s="15">
        <f>-$AP$3*EXP(-AO11*$AP$5/$AP$6)</f>
        <v/>
      </c>
    </row>
    <row r="12">
      <c r="A12" s="13">
        <f>A11+$G$2</f>
        <v/>
      </c>
      <c r="B12" s="14">
        <f>($B$3/$B$4)*(1-EXP(-A12*$B$4/$B$6))</f>
        <v/>
      </c>
      <c r="C12" s="14">
        <f>$B$3*EXP(-A12*$B$4/$B$6)</f>
        <v/>
      </c>
      <c r="D12" s="15">
        <f>($B$3/$B$5)*EXP(-A12*$B$5/$B$6)</f>
        <v/>
      </c>
      <c r="E12" s="15">
        <f>-$B$3*EXP(-A12*$B$5/$B$6)</f>
        <v/>
      </c>
      <c r="T12" s="13">
        <f>T11+$Z$2</f>
        <v/>
      </c>
      <c r="U12" s="14">
        <f>($U$3/$U$4)*(1-EXP(-T12*$U$4/$U$6))</f>
        <v/>
      </c>
      <c r="V12" s="14">
        <f>$U$3*EXP(-T12*$U$4/$U$6)</f>
        <v/>
      </c>
      <c r="W12" s="15">
        <f>($U$3/$U$5)*EXP(-T12*$U$5/$U$6)</f>
        <v/>
      </c>
      <c r="X12" s="15">
        <f>-$U$3*EXP(-T12*$U$5/$U$6)</f>
        <v/>
      </c>
      <c r="AO12" s="13">
        <f>AO11+$AU$2</f>
        <v/>
      </c>
      <c r="AP12" s="14">
        <f>($AP$3/$AP$4)*(1-EXP(-AO12*$AP$4/$AP$6))</f>
        <v/>
      </c>
      <c r="AQ12" s="14">
        <f>$AP$3*EXP(-AO12*$AP$4/$AP$6)</f>
        <v/>
      </c>
      <c r="AR12" s="15">
        <f>($AP$3/$AP$5)*EXP(-AO12*$AP$5/$AP$6)</f>
        <v/>
      </c>
      <c r="AS12" s="15">
        <f>-$AP$3*EXP(-AO12*$AP$5/$AP$6)</f>
        <v/>
      </c>
    </row>
    <row r="13">
      <c r="A13" s="13">
        <f>A12+$G$2</f>
        <v/>
      </c>
      <c r="B13" s="14">
        <f>($B$3/$B$4)*(1-EXP(-A13*$B$4/$B$6))</f>
        <v/>
      </c>
      <c r="C13" s="14">
        <f>$B$3*EXP(-A13*$B$4/$B$6)</f>
        <v/>
      </c>
      <c r="D13" s="15">
        <f>($B$3/$B$5)*EXP(-A13*$B$5/$B$6)</f>
        <v/>
      </c>
      <c r="E13" s="15">
        <f>-$B$3*EXP(-A13*$B$5/$B$6)</f>
        <v/>
      </c>
      <c r="T13" s="13">
        <f>T12+$Z$2</f>
        <v/>
      </c>
      <c r="U13" s="14">
        <f>($U$3/$U$4)*(1-EXP(-T13*$U$4/$U$6))</f>
        <v/>
      </c>
      <c r="V13" s="14">
        <f>$U$3*EXP(-T13*$U$4/$U$6)</f>
        <v/>
      </c>
      <c r="W13" s="15">
        <f>($U$3/$U$5)*EXP(-T13*$U$5/$U$6)</f>
        <v/>
      </c>
      <c r="X13" s="15">
        <f>-$U$3*EXP(-T13*$U$5/$U$6)</f>
        <v/>
      </c>
      <c r="AO13" s="13">
        <f>AO12+$AU$2</f>
        <v/>
      </c>
      <c r="AP13" s="14">
        <f>($AP$3/$AP$4)*(1-EXP(-AO13*$AP$4/$AP$6))</f>
        <v/>
      </c>
      <c r="AQ13" s="14">
        <f>$AP$3*EXP(-AO13*$AP$4/$AP$6)</f>
        <v/>
      </c>
      <c r="AR13" s="15">
        <f>($AP$3/$AP$5)*EXP(-AO13*$AP$5/$AP$6)</f>
        <v/>
      </c>
      <c r="AS13" s="15">
        <f>-$AP$3*EXP(-AO13*$AP$5/$AP$6)</f>
        <v/>
      </c>
    </row>
    <row r="14">
      <c r="A14" s="13">
        <f>A13+$G$2</f>
        <v/>
      </c>
      <c r="B14" s="14">
        <f>($B$3/$B$4)*(1-EXP(-A14*$B$4/$B$6))</f>
        <v/>
      </c>
      <c r="C14" s="14">
        <f>$B$3*EXP(-A14*$B$4/$B$6)</f>
        <v/>
      </c>
      <c r="D14" s="15">
        <f>($B$3/$B$5)*EXP(-A14*$B$5/$B$6)</f>
        <v/>
      </c>
      <c r="E14" s="15">
        <f>-$B$3*EXP(-A14*$B$5/$B$6)</f>
        <v/>
      </c>
      <c r="T14" s="13">
        <f>T13+$Z$2</f>
        <v/>
      </c>
      <c r="U14" s="14">
        <f>($U$3/$U$4)*(1-EXP(-T14*$U$4/$U$6))</f>
        <v/>
      </c>
      <c r="V14" s="14">
        <f>$U$3*EXP(-T14*$U$4/$U$6)</f>
        <v/>
      </c>
      <c r="W14" s="15">
        <f>($U$3/$U$5)*EXP(-T14*$U$5/$U$6)</f>
        <v/>
      </c>
      <c r="X14" s="15">
        <f>-$U$3*EXP(-T14*$U$5/$U$6)</f>
        <v/>
      </c>
      <c r="AO14" s="13">
        <f>AO13+$AU$2</f>
        <v/>
      </c>
      <c r="AP14" s="14">
        <f>($AP$3/$AP$4)*(1-EXP(-AO14*$AP$4/$AP$6))</f>
        <v/>
      </c>
      <c r="AQ14" s="14">
        <f>$AP$3*EXP(-AO14*$AP$4/$AP$6)</f>
        <v/>
      </c>
      <c r="AR14" s="15">
        <f>($AP$3/$AP$5)*EXP(-AO14*$AP$5/$AP$6)</f>
        <v/>
      </c>
      <c r="AS14" s="15">
        <f>-$AP$3*EXP(-AO14*$AP$5/$AP$6)</f>
        <v/>
      </c>
    </row>
    <row r="15">
      <c r="A15" s="13">
        <f>A14+$G$2</f>
        <v/>
      </c>
      <c r="B15" s="14">
        <f>($B$3/$B$4)*(1-EXP(-A15*$B$4/$B$6))</f>
        <v/>
      </c>
      <c r="C15" s="14">
        <f>$B$3*EXP(-A15*$B$4/$B$6)</f>
        <v/>
      </c>
      <c r="D15" s="15">
        <f>($B$3/$B$5)*EXP(-A15*$B$5/$B$6)</f>
        <v/>
      </c>
      <c r="E15" s="15">
        <f>-$B$3*EXP(-A15*$B$5/$B$6)</f>
        <v/>
      </c>
      <c r="T15" s="13">
        <f>T14+$Z$2</f>
        <v/>
      </c>
      <c r="U15" s="14">
        <f>($U$3/$U$4)*(1-EXP(-T15*$U$4/$U$6))</f>
        <v/>
      </c>
      <c r="V15" s="14">
        <f>$U$3*EXP(-T15*$U$4/$U$6)</f>
        <v/>
      </c>
      <c r="W15" s="15">
        <f>($U$3/$U$5)*EXP(-T15*$U$5/$U$6)</f>
        <v/>
      </c>
      <c r="X15" s="15">
        <f>-$U$3*EXP(-T15*$U$5/$U$6)</f>
        <v/>
      </c>
      <c r="AO15" s="13">
        <f>AO14+$AU$2</f>
        <v/>
      </c>
      <c r="AP15" s="14">
        <f>($AP$3/$AP$4)*(1-EXP(-AO15*$AP$4/$AP$6))</f>
        <v/>
      </c>
      <c r="AQ15" s="14">
        <f>$AP$3*EXP(-AO15*$AP$4/$AP$6)</f>
        <v/>
      </c>
      <c r="AR15" s="15">
        <f>($AP$3/$AP$5)*EXP(-AO15*$AP$5/$AP$6)</f>
        <v/>
      </c>
      <c r="AS15" s="15">
        <f>-$AP$3*EXP(-AO15*$AP$5/$AP$6)</f>
        <v/>
      </c>
    </row>
    <row r="16">
      <c r="A16" s="13">
        <f>A15+$G$2</f>
        <v/>
      </c>
      <c r="B16" s="14">
        <f>($B$3/$B$4)*(1-EXP(-A16*$B$4/$B$6))</f>
        <v/>
      </c>
      <c r="C16" s="14">
        <f>$B$3*EXP(-A16*$B$4/$B$6)</f>
        <v/>
      </c>
      <c r="D16" s="15">
        <f>($B$3/$B$5)*EXP(-A16*$B$5/$B$6)</f>
        <v/>
      </c>
      <c r="E16" s="15">
        <f>-$B$3*EXP(-A16*$B$5/$B$6)</f>
        <v/>
      </c>
      <c r="T16" s="13">
        <f>T15+$Z$2</f>
        <v/>
      </c>
      <c r="U16" s="14">
        <f>($U$3/$U$4)*(1-EXP(-T16*$U$4/$U$6))</f>
        <v/>
      </c>
      <c r="V16" s="14">
        <f>$U$3*EXP(-T16*$U$4/$U$6)</f>
        <v/>
      </c>
      <c r="W16" s="15">
        <f>($U$3/$U$5)*EXP(-T16*$U$5/$U$6)</f>
        <v/>
      </c>
      <c r="X16" s="15">
        <f>-$U$3*EXP(-T16*$U$5/$U$6)</f>
        <v/>
      </c>
      <c r="AO16" s="13">
        <f>AO15+$AU$2</f>
        <v/>
      </c>
      <c r="AP16" s="14">
        <f>($AP$3/$AP$4)*(1-EXP(-AO16*$AP$4/$AP$6))</f>
        <v/>
      </c>
      <c r="AQ16" s="14">
        <f>$AP$3*EXP(-AO16*$AP$4/$AP$6)</f>
        <v/>
      </c>
      <c r="AR16" s="15">
        <f>($AP$3/$AP$5)*EXP(-AO16*$AP$5/$AP$6)</f>
        <v/>
      </c>
      <c r="AS16" s="15">
        <f>-$AP$3*EXP(-AO16*$AP$5/$AP$6)</f>
        <v/>
      </c>
    </row>
    <row r="17">
      <c r="A17" s="13">
        <f>A16+$G$2</f>
        <v/>
      </c>
      <c r="B17" s="14">
        <f>($B$3/$B$4)*(1-EXP(-A17*$B$4/$B$6))</f>
        <v/>
      </c>
      <c r="C17" s="14">
        <f>$B$3*EXP(-A17*$B$4/$B$6)</f>
        <v/>
      </c>
      <c r="D17" s="15">
        <f>($B$3/$B$5)*EXP(-A17*$B$5/$B$6)</f>
        <v/>
      </c>
      <c r="E17" s="15">
        <f>-$B$3*EXP(-A17*$B$5/$B$6)</f>
        <v/>
      </c>
      <c r="T17" s="13">
        <f>T16+$Z$2</f>
        <v/>
      </c>
      <c r="U17" s="14">
        <f>($U$3/$U$4)*(1-EXP(-T17*$U$4/$U$6))</f>
        <v/>
      </c>
      <c r="V17" s="14">
        <f>$U$3*EXP(-T17*$U$4/$U$6)</f>
        <v/>
      </c>
      <c r="W17" s="15">
        <f>($U$3/$U$5)*EXP(-T17*$U$5/$U$6)</f>
        <v/>
      </c>
      <c r="X17" s="15">
        <f>-$U$3*EXP(-T17*$U$5/$U$6)</f>
        <v/>
      </c>
      <c r="AO17" s="13">
        <f>AO16+$AU$2</f>
        <v/>
      </c>
      <c r="AP17" s="14">
        <f>($AP$3/$AP$4)*(1-EXP(-AO17*$AP$4/$AP$6))</f>
        <v/>
      </c>
      <c r="AQ17" s="14">
        <f>$AP$3*EXP(-AO17*$AP$4/$AP$6)</f>
        <v/>
      </c>
      <c r="AR17" s="15">
        <f>($AP$3/$AP$5)*EXP(-AO17*$AP$5/$AP$6)</f>
        <v/>
      </c>
      <c r="AS17" s="15">
        <f>-$AP$3*EXP(-AO17*$AP$5/$AP$6)</f>
        <v/>
      </c>
    </row>
    <row r="18">
      <c r="A18" s="13">
        <f>A17+$G$2</f>
        <v/>
      </c>
      <c r="B18" s="14">
        <f>($B$3/$B$4)*(1-EXP(-A18*$B$4/$B$6))</f>
        <v/>
      </c>
      <c r="C18" s="14">
        <f>$B$3*EXP(-A18*$B$4/$B$6)</f>
        <v/>
      </c>
      <c r="D18" s="15">
        <f>($B$3/$B$5)*EXP(-A18*$B$5/$B$6)</f>
        <v/>
      </c>
      <c r="E18" s="15">
        <f>-$B$3*EXP(-A18*$B$5/$B$6)</f>
        <v/>
      </c>
      <c r="T18" s="13">
        <f>T17+$Z$2</f>
        <v/>
      </c>
      <c r="U18" s="14">
        <f>($U$3/$U$4)*(1-EXP(-T18*$U$4/$U$6))</f>
        <v/>
      </c>
      <c r="V18" s="14">
        <f>$U$3*EXP(-T18*$U$4/$U$6)</f>
        <v/>
      </c>
      <c r="W18" s="15">
        <f>($U$3/$U$5)*EXP(-T18*$U$5/$U$6)</f>
        <v/>
      </c>
      <c r="X18" s="15">
        <f>-$U$3*EXP(-T18*$U$5/$U$6)</f>
        <v/>
      </c>
      <c r="AO18" s="13">
        <f>AO17+$AU$2</f>
        <v/>
      </c>
      <c r="AP18" s="14">
        <f>($AP$3/$AP$4)*(1-EXP(-AO18*$AP$4/$AP$6))</f>
        <v/>
      </c>
      <c r="AQ18" s="14">
        <f>$AP$3*EXP(-AO18*$AP$4/$AP$6)</f>
        <v/>
      </c>
      <c r="AR18" s="15">
        <f>($AP$3/$AP$5)*EXP(-AO18*$AP$5/$AP$6)</f>
        <v/>
      </c>
      <c r="AS18" s="15">
        <f>-$AP$3*EXP(-AO18*$AP$5/$AP$6)</f>
        <v/>
      </c>
    </row>
    <row r="19">
      <c r="A19" s="13">
        <f>A18+$G$2</f>
        <v/>
      </c>
      <c r="B19" s="14">
        <f>($B$3/$B$4)*(1-EXP(-A19*$B$4/$B$6))</f>
        <v/>
      </c>
      <c r="C19" s="14">
        <f>$B$3*EXP(-A19*$B$4/$B$6)</f>
        <v/>
      </c>
      <c r="D19" s="15">
        <f>($B$3/$B$5)*EXP(-A19*$B$5/$B$6)</f>
        <v/>
      </c>
      <c r="E19" s="15">
        <f>-$B$3*EXP(-A19*$B$5/$B$6)</f>
        <v/>
      </c>
      <c r="T19" s="13">
        <f>T18+$Z$2</f>
        <v/>
      </c>
      <c r="U19" s="14">
        <f>($U$3/$U$4)*(1-EXP(-T19*$U$4/$U$6))</f>
        <v/>
      </c>
      <c r="V19" s="14">
        <f>$U$3*EXP(-T19*$U$4/$U$6)</f>
        <v/>
      </c>
      <c r="W19" s="15">
        <f>($U$3/$U$5)*EXP(-T19*$U$5/$U$6)</f>
        <v/>
      </c>
      <c r="X19" s="15">
        <f>-$U$3*EXP(-T19*$U$5/$U$6)</f>
        <v/>
      </c>
      <c r="AO19" s="13">
        <f>AO18+$AU$2</f>
        <v/>
      </c>
      <c r="AP19" s="14">
        <f>($AP$3/$AP$4)*(1-EXP(-AO19*$AP$4/$AP$6))</f>
        <v/>
      </c>
      <c r="AQ19" s="14">
        <f>$AP$3*EXP(-AO19*$AP$4/$AP$6)</f>
        <v/>
      </c>
      <c r="AR19" s="15">
        <f>($AP$3/$AP$5)*EXP(-AO19*$AP$5/$AP$6)</f>
        <v/>
      </c>
      <c r="AS19" s="15">
        <f>-$AP$3*EXP(-AO19*$AP$5/$AP$6)</f>
        <v/>
      </c>
    </row>
    <row r="20">
      <c r="A20" s="13">
        <f>A19+$G$2</f>
        <v/>
      </c>
      <c r="B20" s="14">
        <f>($B$3/$B$4)*(1-EXP(-A20*$B$4/$B$6))</f>
        <v/>
      </c>
      <c r="C20" s="14">
        <f>$B$3*EXP(-A20*$B$4/$B$6)</f>
        <v/>
      </c>
      <c r="D20" s="15">
        <f>($B$3/$B$5)*EXP(-A20*$B$5/$B$6)</f>
        <v/>
      </c>
      <c r="E20" s="15">
        <f>-$B$3*EXP(-A20*$B$5/$B$6)</f>
        <v/>
      </c>
      <c r="T20" s="13">
        <f>T19+$Z$2</f>
        <v/>
      </c>
      <c r="U20" s="14">
        <f>($U$3/$U$4)*(1-EXP(-T20*$U$4/$U$6))</f>
        <v/>
      </c>
      <c r="V20" s="14">
        <f>$U$3*EXP(-T20*$U$4/$U$6)</f>
        <v/>
      </c>
      <c r="W20" s="15">
        <f>($U$3/$U$5)*EXP(-T20*$U$5/$U$6)</f>
        <v/>
      </c>
      <c r="X20" s="15">
        <f>-$U$3*EXP(-T20*$U$5/$U$6)</f>
        <v/>
      </c>
      <c r="AO20" s="13">
        <f>AO19+$AU$2</f>
        <v/>
      </c>
      <c r="AP20" s="14">
        <f>($AP$3/$AP$4)*(1-EXP(-AO20*$AP$4/$AP$6))</f>
        <v/>
      </c>
      <c r="AQ20" s="14">
        <f>$AP$3*EXP(-AO20*$AP$4/$AP$6)</f>
        <v/>
      </c>
      <c r="AR20" s="15">
        <f>($AP$3/$AP$5)*EXP(-AO20*$AP$5/$AP$6)</f>
        <v/>
      </c>
      <c r="AS20" s="15">
        <f>-$AP$3*EXP(-AO20*$AP$5/$AP$6)</f>
        <v/>
      </c>
    </row>
    <row r="21">
      <c r="A21" s="13">
        <f>A20+$G$2</f>
        <v/>
      </c>
      <c r="B21" s="14">
        <f>($B$3/$B$4)*(1-EXP(-A21*$B$4/$B$6))</f>
        <v/>
      </c>
      <c r="C21" s="14">
        <f>$B$3*EXP(-A21*$B$4/$B$6)</f>
        <v/>
      </c>
      <c r="D21" s="15">
        <f>($B$3/$B$5)*EXP(-A21*$B$5/$B$6)</f>
        <v/>
      </c>
      <c r="E21" s="15">
        <f>-$B$3*EXP(-A21*$B$5/$B$6)</f>
        <v/>
      </c>
      <c r="T21" s="13">
        <f>T20+$Z$2</f>
        <v/>
      </c>
      <c r="U21" s="14">
        <f>($U$3/$U$4)*(1-EXP(-T21*$U$4/$U$6))</f>
        <v/>
      </c>
      <c r="V21" s="14">
        <f>$U$3*EXP(-T21*$U$4/$U$6)</f>
        <v/>
      </c>
      <c r="W21" s="15">
        <f>($U$3/$U$5)*EXP(-T21*$U$5/$U$6)</f>
        <v/>
      </c>
      <c r="X21" s="15">
        <f>-$U$3*EXP(-T21*$U$5/$U$6)</f>
        <v/>
      </c>
      <c r="AO21" s="13">
        <f>AO20+$AU$2</f>
        <v/>
      </c>
      <c r="AP21" s="14">
        <f>($AP$3/$AP$4)*(1-EXP(-AO21*$AP$4/$AP$6))</f>
        <v/>
      </c>
      <c r="AQ21" s="14">
        <f>$AP$3*EXP(-AO21*$AP$4/$AP$6)</f>
        <v/>
      </c>
      <c r="AR21" s="15">
        <f>($AP$3/$AP$5)*EXP(-AO21*$AP$5/$AP$6)</f>
        <v/>
      </c>
      <c r="AS21" s="15">
        <f>-$AP$3*EXP(-AO21*$AP$5/$AP$6)</f>
        <v/>
      </c>
    </row>
    <row r="22">
      <c r="A22" s="13">
        <f>A21+$G$2</f>
        <v/>
      </c>
      <c r="B22" s="14">
        <f>($B$3/$B$4)*(1-EXP(-A22*$B$4/$B$6))</f>
        <v/>
      </c>
      <c r="C22" s="14">
        <f>$B$3*EXP(-A22*$B$4/$B$6)</f>
        <v/>
      </c>
      <c r="D22" s="15">
        <f>($B$3/$B$5)*EXP(-A22*$B$5/$B$6)</f>
        <v/>
      </c>
      <c r="E22" s="15">
        <f>-$B$3*EXP(-A22*$B$5/$B$6)</f>
        <v/>
      </c>
      <c r="T22" s="13">
        <f>T21+$Z$2</f>
        <v/>
      </c>
      <c r="U22" s="14">
        <f>($U$3/$U$4)*(1-EXP(-T22*$U$4/$U$6))</f>
        <v/>
      </c>
      <c r="V22" s="14">
        <f>$U$3*EXP(-T22*$U$4/$U$6)</f>
        <v/>
      </c>
      <c r="W22" s="15">
        <f>($U$3/$U$5)*EXP(-T22*$U$5/$U$6)</f>
        <v/>
      </c>
      <c r="X22" s="15">
        <f>-$U$3*EXP(-T22*$U$5/$U$6)</f>
        <v/>
      </c>
      <c r="AO22" s="13">
        <f>AO21+$AU$2</f>
        <v/>
      </c>
      <c r="AP22" s="14">
        <f>($AP$3/$AP$4)*(1-EXP(-AO22*$AP$4/$AP$6))</f>
        <v/>
      </c>
      <c r="AQ22" s="14">
        <f>$AP$3*EXP(-AO22*$AP$4/$AP$6)</f>
        <v/>
      </c>
      <c r="AR22" s="15">
        <f>($AP$3/$AP$5)*EXP(-AO22*$AP$5/$AP$6)</f>
        <v/>
      </c>
      <c r="AS22" s="15">
        <f>-$AP$3*EXP(-AO22*$AP$5/$AP$6)</f>
        <v/>
      </c>
    </row>
    <row r="23">
      <c r="A23" s="13">
        <f>A22+$G$2</f>
        <v/>
      </c>
      <c r="B23" s="14">
        <f>($B$3/$B$4)*(1-EXP(-A23*$B$4/$B$6))</f>
        <v/>
      </c>
      <c r="C23" s="14">
        <f>$B$3*EXP(-A23*$B$4/$B$6)</f>
        <v/>
      </c>
      <c r="D23" s="15">
        <f>($B$3/$B$5)*EXP(-A23*$B$5/$B$6)</f>
        <v/>
      </c>
      <c r="E23" s="15">
        <f>-$B$3*EXP(-A23*$B$5/$B$6)</f>
        <v/>
      </c>
      <c r="T23" s="13">
        <f>T22+$Z$2</f>
        <v/>
      </c>
      <c r="U23" s="14">
        <f>($U$3/$U$4)*(1-EXP(-T23*$U$4/$U$6))</f>
        <v/>
      </c>
      <c r="V23" s="14">
        <f>$U$3*EXP(-T23*$U$4/$U$6)</f>
        <v/>
      </c>
      <c r="W23" s="15">
        <f>($U$3/$U$5)*EXP(-T23*$U$5/$U$6)</f>
        <v/>
      </c>
      <c r="X23" s="15">
        <f>-$U$3*EXP(-T23*$U$5/$U$6)</f>
        <v/>
      </c>
      <c r="AO23" s="13">
        <f>AO22+$AU$2</f>
        <v/>
      </c>
      <c r="AP23" s="14">
        <f>($AP$3/$AP$4)*(1-EXP(-AO23*$AP$4/$AP$6))</f>
        <v/>
      </c>
      <c r="AQ23" s="14">
        <f>$AP$3*EXP(-AO23*$AP$4/$AP$6)</f>
        <v/>
      </c>
      <c r="AR23" s="15">
        <f>($AP$3/$AP$5)*EXP(-AO23*$AP$5/$AP$6)</f>
        <v/>
      </c>
      <c r="AS23" s="15">
        <f>-$AP$3*EXP(-AO23*$AP$5/$AP$6)</f>
        <v/>
      </c>
    </row>
    <row r="24">
      <c r="A24" s="13">
        <f>A23+$G$2</f>
        <v/>
      </c>
      <c r="B24" s="14">
        <f>($B$3/$B$4)*(1-EXP(-A24*$B$4/$B$6))</f>
        <v/>
      </c>
      <c r="C24" s="14">
        <f>$B$3*EXP(-A24*$B$4/$B$6)</f>
        <v/>
      </c>
      <c r="D24" s="15">
        <f>($B$3/$B$5)*EXP(-A24*$B$5/$B$6)</f>
        <v/>
      </c>
      <c r="E24" s="15">
        <f>-$B$3*EXP(-A24*$B$5/$B$6)</f>
        <v/>
      </c>
      <c r="T24" s="13">
        <f>T23+$Z$2</f>
        <v/>
      </c>
      <c r="U24" s="14">
        <f>($U$3/$U$4)*(1-EXP(-T24*$U$4/$U$6))</f>
        <v/>
      </c>
      <c r="V24" s="14">
        <f>$U$3*EXP(-T24*$U$4/$U$6)</f>
        <v/>
      </c>
      <c r="W24" s="15">
        <f>($U$3/$U$5)*EXP(-T24*$U$5/$U$6)</f>
        <v/>
      </c>
      <c r="X24" s="15">
        <f>-$U$3*EXP(-T24*$U$5/$U$6)</f>
        <v/>
      </c>
      <c r="AO24" s="13">
        <f>AO23+$AU$2</f>
        <v/>
      </c>
      <c r="AP24" s="14">
        <f>($AP$3/$AP$4)*(1-EXP(-AO24*$AP$4/$AP$6))</f>
        <v/>
      </c>
      <c r="AQ24" s="14">
        <f>$AP$3*EXP(-AO24*$AP$4/$AP$6)</f>
        <v/>
      </c>
      <c r="AR24" s="15">
        <f>($AP$3/$AP$5)*EXP(-AO24*$AP$5/$AP$6)</f>
        <v/>
      </c>
      <c r="AS24" s="15">
        <f>-$AP$3*EXP(-AO24*$AP$5/$AP$6)</f>
        <v/>
      </c>
    </row>
    <row r="25">
      <c r="A25" s="13">
        <f>A24+$G$2</f>
        <v/>
      </c>
      <c r="B25" s="14">
        <f>($B$3/$B$4)*(1-EXP(-A25*$B$4/$B$6))</f>
        <v/>
      </c>
      <c r="C25" s="14">
        <f>$B$3*EXP(-A25*$B$4/$B$6)</f>
        <v/>
      </c>
      <c r="D25" s="15">
        <f>($B$3/$B$5)*EXP(-A25*$B$5/$B$6)</f>
        <v/>
      </c>
      <c r="E25" s="15">
        <f>-$B$3*EXP(-A25*$B$5/$B$6)</f>
        <v/>
      </c>
      <c r="T25" s="13">
        <f>T24+$Z$2</f>
        <v/>
      </c>
      <c r="U25" s="14">
        <f>($U$3/$U$4)*(1-EXP(-T25*$U$4/$U$6))</f>
        <v/>
      </c>
      <c r="V25" s="14">
        <f>$U$3*EXP(-T25*$U$4/$U$6)</f>
        <v/>
      </c>
      <c r="W25" s="15">
        <f>($U$3/$U$5)*EXP(-T25*$U$5/$U$6)</f>
        <v/>
      </c>
      <c r="X25" s="15">
        <f>-$U$3*EXP(-T25*$U$5/$U$6)</f>
        <v/>
      </c>
      <c r="AO25" s="13">
        <f>AO24+$AU$2</f>
        <v/>
      </c>
      <c r="AP25" s="14">
        <f>($AP$3/$AP$4)*(1-EXP(-AO25*$AP$4/$AP$6))</f>
        <v/>
      </c>
      <c r="AQ25" s="14">
        <f>$AP$3*EXP(-AO25*$AP$4/$AP$6)</f>
        <v/>
      </c>
      <c r="AR25" s="15">
        <f>($AP$3/$AP$5)*EXP(-AO25*$AP$5/$AP$6)</f>
        <v/>
      </c>
      <c r="AS25" s="15">
        <f>-$AP$3*EXP(-AO25*$AP$5/$AP$6)</f>
        <v/>
      </c>
    </row>
    <row r="26">
      <c r="A26" s="13">
        <f>A25+$G$2</f>
        <v/>
      </c>
      <c r="B26" s="14">
        <f>($B$3/$B$4)*(1-EXP(-A26*$B$4/$B$6))</f>
        <v/>
      </c>
      <c r="C26" s="14">
        <f>$B$3*EXP(-A26*$B$4/$B$6)</f>
        <v/>
      </c>
      <c r="D26" s="15">
        <f>($B$3/$B$5)*EXP(-A26*$B$5/$B$6)</f>
        <v/>
      </c>
      <c r="E26" s="15">
        <f>-$B$3*EXP(-A26*$B$5/$B$6)</f>
        <v/>
      </c>
      <c r="T26" s="13">
        <f>T25+$Z$2</f>
        <v/>
      </c>
      <c r="U26" s="14">
        <f>($U$3/$U$4)*(1-EXP(-T26*$U$4/$U$6))</f>
        <v/>
      </c>
      <c r="V26" s="14">
        <f>$U$3*EXP(-T26*$U$4/$U$6)</f>
        <v/>
      </c>
      <c r="W26" s="15">
        <f>($U$3/$U$5)*EXP(-T26*$U$5/$U$6)</f>
        <v/>
      </c>
      <c r="X26" s="15">
        <f>-$U$3*EXP(-T26*$U$5/$U$6)</f>
        <v/>
      </c>
      <c r="AO26" s="13">
        <f>AO25+$AU$2</f>
        <v/>
      </c>
      <c r="AP26" s="14">
        <f>($AP$3/$AP$4)*(1-EXP(-AO26*$AP$4/$AP$6))</f>
        <v/>
      </c>
      <c r="AQ26" s="14">
        <f>$AP$3*EXP(-AO26*$AP$4/$AP$6)</f>
        <v/>
      </c>
      <c r="AR26" s="15">
        <f>($AP$3/$AP$5)*EXP(-AO26*$AP$5/$AP$6)</f>
        <v/>
      </c>
      <c r="AS26" s="15">
        <f>-$AP$3*EXP(-AO26*$AP$5/$AP$6)</f>
        <v/>
      </c>
    </row>
    <row r="27">
      <c r="A27" s="13">
        <f>A26+$G$2</f>
        <v/>
      </c>
      <c r="B27" s="14">
        <f>($B$3/$B$4)*(1-EXP(-A27*$B$4/$B$6))</f>
        <v/>
      </c>
      <c r="C27" s="14">
        <f>$B$3*EXP(-A27*$B$4/$B$6)</f>
        <v/>
      </c>
      <c r="D27" s="15">
        <f>($B$3/$B$5)*EXP(-A27*$B$5/$B$6)</f>
        <v/>
      </c>
      <c r="E27" s="15">
        <f>-$B$3*EXP(-A27*$B$5/$B$6)</f>
        <v/>
      </c>
      <c r="T27" s="13">
        <f>T26+$Z$2</f>
        <v/>
      </c>
      <c r="U27" s="14">
        <f>($U$3/$U$4)*(1-EXP(-T27*$U$4/$U$6))</f>
        <v/>
      </c>
      <c r="V27" s="14">
        <f>$U$3*EXP(-T27*$U$4/$U$6)</f>
        <v/>
      </c>
      <c r="W27" s="15">
        <f>($U$3/$U$5)*EXP(-T27*$U$5/$U$6)</f>
        <v/>
      </c>
      <c r="X27" s="15">
        <f>-$U$3*EXP(-T27*$U$5/$U$6)</f>
        <v/>
      </c>
      <c r="AO27" s="13">
        <f>AO26+$AU$2</f>
        <v/>
      </c>
      <c r="AP27" s="14">
        <f>($AP$3/$AP$4)*(1-EXP(-AO27*$AP$4/$AP$6))</f>
        <v/>
      </c>
      <c r="AQ27" s="14">
        <f>$AP$3*EXP(-AO27*$AP$4/$AP$6)</f>
        <v/>
      </c>
      <c r="AR27" s="15">
        <f>($AP$3/$AP$5)*EXP(-AO27*$AP$5/$AP$6)</f>
        <v/>
      </c>
      <c r="AS27" s="15">
        <f>-$AP$3*EXP(-AO27*$AP$5/$AP$6)</f>
        <v/>
      </c>
    </row>
    <row r="28">
      <c r="A28" s="13">
        <f>A27+$G$2</f>
        <v/>
      </c>
      <c r="B28" s="14">
        <f>($B$3/$B$4)*(1-EXP(-A28*$B$4/$B$6))</f>
        <v/>
      </c>
      <c r="C28" s="14">
        <f>$B$3*EXP(-A28*$B$4/$B$6)</f>
        <v/>
      </c>
      <c r="D28" s="15">
        <f>($B$3/$B$5)*EXP(-A28*$B$5/$B$6)</f>
        <v/>
      </c>
      <c r="E28" s="15">
        <f>-$B$3*EXP(-A28*$B$5/$B$6)</f>
        <v/>
      </c>
      <c r="T28" s="13">
        <f>T27+$Z$2</f>
        <v/>
      </c>
      <c r="U28" s="14">
        <f>($U$3/$U$4)*(1-EXP(-T28*$U$4/$U$6))</f>
        <v/>
      </c>
      <c r="V28" s="14">
        <f>$U$3*EXP(-T28*$U$4/$U$6)</f>
        <v/>
      </c>
      <c r="W28" s="15">
        <f>($U$3/$U$5)*EXP(-T28*$U$5/$U$6)</f>
        <v/>
      </c>
      <c r="X28" s="15">
        <f>-$U$3*EXP(-T28*$U$5/$U$6)</f>
        <v/>
      </c>
      <c r="AO28" s="13">
        <f>AO27+$AU$2</f>
        <v/>
      </c>
      <c r="AP28" s="14">
        <f>($AP$3/$AP$4)*(1-EXP(-AO28*$AP$4/$AP$6))</f>
        <v/>
      </c>
      <c r="AQ28" s="14">
        <f>$AP$3*EXP(-AO28*$AP$4/$AP$6)</f>
        <v/>
      </c>
      <c r="AR28" s="15">
        <f>($AP$3/$AP$5)*EXP(-AO28*$AP$5/$AP$6)</f>
        <v/>
      </c>
      <c r="AS28" s="15">
        <f>-$AP$3*EXP(-AO28*$AP$5/$AP$6)</f>
        <v/>
      </c>
    </row>
    <row r="29">
      <c r="A29" s="13">
        <f>A28+$G$2</f>
        <v/>
      </c>
      <c r="B29" s="14">
        <f>($B$3/$B$4)*(1-EXP(-A29*$B$4/$B$6))</f>
        <v/>
      </c>
      <c r="C29" s="14">
        <f>$B$3*EXP(-A29*$B$4/$B$6)</f>
        <v/>
      </c>
      <c r="D29" s="15">
        <f>($B$3/$B$5)*EXP(-A29*$B$5/$B$6)</f>
        <v/>
      </c>
      <c r="E29" s="15">
        <f>-$B$3*EXP(-A29*$B$5/$B$6)</f>
        <v/>
      </c>
      <c r="T29" s="13">
        <f>T28+$Z$2</f>
        <v/>
      </c>
      <c r="U29" s="14">
        <f>($U$3/$U$4)*(1-EXP(-T29*$U$4/$U$6))</f>
        <v/>
      </c>
      <c r="V29" s="14">
        <f>$U$3*EXP(-T29*$U$4/$U$6)</f>
        <v/>
      </c>
      <c r="W29" s="15">
        <f>($U$3/$U$5)*EXP(-T29*$U$5/$U$6)</f>
        <v/>
      </c>
      <c r="X29" s="15">
        <f>-$U$3*EXP(-T29*$U$5/$U$6)</f>
        <v/>
      </c>
      <c r="AO29" s="13">
        <f>AO28+$AU$2</f>
        <v/>
      </c>
      <c r="AP29" s="14">
        <f>($AP$3/$AP$4)*(1-EXP(-AO29*$AP$4/$AP$6))</f>
        <v/>
      </c>
      <c r="AQ29" s="14">
        <f>$AP$3*EXP(-AO29*$AP$4/$AP$6)</f>
        <v/>
      </c>
      <c r="AR29" s="15">
        <f>($AP$3/$AP$5)*EXP(-AO29*$AP$5/$AP$6)</f>
        <v/>
      </c>
      <c r="AS29" s="15">
        <f>-$AP$3*EXP(-AO29*$AP$5/$AP$6)</f>
        <v/>
      </c>
    </row>
    <row r="30">
      <c r="A30" s="13">
        <f>A29+$G$2</f>
        <v/>
      </c>
      <c r="B30" s="14">
        <f>($B$3/$B$4)*(1-EXP(-A30*$B$4/$B$6))</f>
        <v/>
      </c>
      <c r="C30" s="14">
        <f>$B$3*EXP(-A30*$B$4/$B$6)</f>
        <v/>
      </c>
      <c r="D30" s="15">
        <f>($B$3/$B$5)*EXP(-A30*$B$5/$B$6)</f>
        <v/>
      </c>
      <c r="E30" s="15">
        <f>-$B$3*EXP(-A30*$B$5/$B$6)</f>
        <v/>
      </c>
      <c r="T30" s="13">
        <f>T29+$Z$2</f>
        <v/>
      </c>
      <c r="U30" s="14">
        <f>($U$3/$U$4)*(1-EXP(-T30*$U$4/$U$6))</f>
        <v/>
      </c>
      <c r="V30" s="14">
        <f>$U$3*EXP(-T30*$U$4/$U$6)</f>
        <v/>
      </c>
      <c r="W30" s="15">
        <f>($U$3/$U$5)*EXP(-T30*$U$5/$U$6)</f>
        <v/>
      </c>
      <c r="X30" s="15">
        <f>-$U$3*EXP(-T30*$U$5/$U$6)</f>
        <v/>
      </c>
      <c r="AO30" s="13">
        <f>AO29+$AU$2</f>
        <v/>
      </c>
      <c r="AP30" s="14">
        <f>($AP$3/$AP$4)*(1-EXP(-AO30*$AP$4/$AP$6))</f>
        <v/>
      </c>
      <c r="AQ30" s="14">
        <f>$AP$3*EXP(-AO30*$AP$4/$AP$6)</f>
        <v/>
      </c>
      <c r="AR30" s="15">
        <f>($AP$3/$AP$5)*EXP(-AO30*$AP$5/$AP$6)</f>
        <v/>
      </c>
      <c r="AS30" s="15">
        <f>-$AP$3*EXP(-AO30*$AP$5/$AP$6)</f>
        <v/>
      </c>
    </row>
    <row r="31">
      <c r="A31" s="13">
        <f>A30+$G$2</f>
        <v/>
      </c>
      <c r="B31" s="14">
        <f>($B$3/$B$4)*(1-EXP(-A31*$B$4/$B$6))</f>
        <v/>
      </c>
      <c r="C31" s="14">
        <f>$B$3*EXP(-A31*$B$4/$B$6)</f>
        <v/>
      </c>
      <c r="D31" s="15">
        <f>($B$3/$B$5)*EXP(-A31*$B$5/$B$6)</f>
        <v/>
      </c>
      <c r="E31" s="15">
        <f>-$B$3*EXP(-A31*$B$5/$B$6)</f>
        <v/>
      </c>
      <c r="T31" s="13">
        <f>T30+$Z$2</f>
        <v/>
      </c>
      <c r="U31" s="14">
        <f>($U$3/$U$4)*(1-EXP(-T31*$U$4/$U$6))</f>
        <v/>
      </c>
      <c r="V31" s="14">
        <f>$U$3*EXP(-T31*$U$4/$U$6)</f>
        <v/>
      </c>
      <c r="W31" s="15">
        <f>($U$3/$U$5)*EXP(-T31*$U$5/$U$6)</f>
        <v/>
      </c>
      <c r="X31" s="15">
        <f>-$U$3*EXP(-T31*$U$5/$U$6)</f>
        <v/>
      </c>
      <c r="AO31" s="13">
        <f>AO30+$AU$2</f>
        <v/>
      </c>
      <c r="AP31" s="14">
        <f>($AP$3/$AP$4)*(1-EXP(-AO31*$AP$4/$AP$6))</f>
        <v/>
      </c>
      <c r="AQ31" s="14">
        <f>$AP$3*EXP(-AO31*$AP$4/$AP$6)</f>
        <v/>
      </c>
      <c r="AR31" s="15">
        <f>($AP$3/$AP$5)*EXP(-AO31*$AP$5/$AP$6)</f>
        <v/>
      </c>
      <c r="AS31" s="15">
        <f>-$AP$3*EXP(-AO31*$AP$5/$AP$6)</f>
        <v/>
      </c>
    </row>
    <row r="32">
      <c r="A32" s="13">
        <f>A31+$G$2</f>
        <v/>
      </c>
      <c r="B32" s="14">
        <f>($B$3/$B$4)*(1-EXP(-A32*$B$4/$B$6))</f>
        <v/>
      </c>
      <c r="C32" s="14">
        <f>$B$3*EXP(-A32*$B$4/$B$6)</f>
        <v/>
      </c>
      <c r="D32" s="15">
        <f>($B$3/$B$5)*EXP(-A32*$B$5/$B$6)</f>
        <v/>
      </c>
      <c r="E32" s="15">
        <f>-$B$3*EXP(-A32*$B$5/$B$6)</f>
        <v/>
      </c>
      <c r="T32" s="13">
        <f>T31+$Z$2</f>
        <v/>
      </c>
      <c r="U32" s="14">
        <f>($U$3/$U$4)*(1-EXP(-T32*$U$4/$U$6))</f>
        <v/>
      </c>
      <c r="V32" s="14">
        <f>$U$3*EXP(-T32*$U$4/$U$6)</f>
        <v/>
      </c>
      <c r="W32" s="15">
        <f>($U$3/$U$5)*EXP(-T32*$U$5/$U$6)</f>
        <v/>
      </c>
      <c r="X32" s="15">
        <f>-$U$3*EXP(-T32*$U$5/$U$6)</f>
        <v/>
      </c>
      <c r="AO32" s="13">
        <f>AO31+$AU$2</f>
        <v/>
      </c>
      <c r="AP32" s="14">
        <f>($AP$3/$AP$4)*(1-EXP(-AO32*$AP$4/$AP$6))</f>
        <v/>
      </c>
      <c r="AQ32" s="14">
        <f>$AP$3*EXP(-AO32*$AP$4/$AP$6)</f>
        <v/>
      </c>
      <c r="AR32" s="15">
        <f>($AP$3/$AP$5)*EXP(-AO32*$AP$5/$AP$6)</f>
        <v/>
      </c>
      <c r="AS32" s="15">
        <f>-$AP$3*EXP(-AO32*$AP$5/$AP$6)</f>
        <v/>
      </c>
    </row>
    <row r="33">
      <c r="A33" s="13">
        <f>A32+$G$2</f>
        <v/>
      </c>
      <c r="B33" s="14">
        <f>($B$3/$B$4)*(1-EXP(-A33*$B$4/$B$6))</f>
        <v/>
      </c>
      <c r="C33" s="14">
        <f>$B$3*EXP(-A33*$B$4/$B$6)</f>
        <v/>
      </c>
      <c r="D33" s="15">
        <f>($B$3/$B$5)*EXP(-A33*$B$5/$B$6)</f>
        <v/>
      </c>
      <c r="E33" s="15">
        <f>-$B$3*EXP(-A33*$B$5/$B$6)</f>
        <v/>
      </c>
      <c r="T33" s="13">
        <f>T32+$Z$2</f>
        <v/>
      </c>
      <c r="U33" s="14">
        <f>($U$3/$U$4)*(1-EXP(-T33*$U$4/$U$6))</f>
        <v/>
      </c>
      <c r="V33" s="14">
        <f>$U$3*EXP(-T33*$U$4/$U$6)</f>
        <v/>
      </c>
      <c r="W33" s="15">
        <f>($U$3/$U$5)*EXP(-T33*$U$5/$U$6)</f>
        <v/>
      </c>
      <c r="X33" s="15">
        <f>-$U$3*EXP(-T33*$U$5/$U$6)</f>
        <v/>
      </c>
      <c r="AO33" s="13">
        <f>AO32+$AU$2</f>
        <v/>
      </c>
      <c r="AP33" s="14">
        <f>($AP$3/$AP$4)*(1-EXP(-AO33*$AP$4/$AP$6))</f>
        <v/>
      </c>
      <c r="AQ33" s="14">
        <f>$AP$3*EXP(-AO33*$AP$4/$AP$6)</f>
        <v/>
      </c>
      <c r="AR33" s="15">
        <f>($AP$3/$AP$5)*EXP(-AO33*$AP$5/$AP$6)</f>
        <v/>
      </c>
      <c r="AS33" s="15">
        <f>-$AP$3*EXP(-AO33*$AP$5/$AP$6)</f>
        <v/>
      </c>
    </row>
    <row r="34">
      <c r="A34" s="13">
        <f>A33+$G$2</f>
        <v/>
      </c>
      <c r="B34" s="14">
        <f>($B$3/$B$4)*(1-EXP(-A34*$B$4/$B$6))</f>
        <v/>
      </c>
      <c r="C34" s="14">
        <f>$B$3*EXP(-A34*$B$4/$B$6)</f>
        <v/>
      </c>
      <c r="D34" s="15">
        <f>($B$3/$B$5)*EXP(-A34*$B$5/$B$6)</f>
        <v/>
      </c>
      <c r="E34" s="15">
        <f>-$B$3*EXP(-A34*$B$5/$B$6)</f>
        <v/>
      </c>
      <c r="T34" s="13">
        <f>T33+$Z$2</f>
        <v/>
      </c>
      <c r="U34" s="14">
        <f>($U$3/$U$4)*(1-EXP(-T34*$U$4/$U$6))</f>
        <v/>
      </c>
      <c r="V34" s="14">
        <f>$U$3*EXP(-T34*$U$4/$U$6)</f>
        <v/>
      </c>
      <c r="W34" s="15">
        <f>($U$3/$U$5)*EXP(-T34*$U$5/$U$6)</f>
        <v/>
      </c>
      <c r="X34" s="15">
        <f>-$U$3*EXP(-T34*$U$5/$U$6)</f>
        <v/>
      </c>
      <c r="AO34" s="13">
        <f>AO33+$AU$2</f>
        <v/>
      </c>
      <c r="AP34" s="14">
        <f>($AP$3/$AP$4)*(1-EXP(-AO34*$AP$4/$AP$6))</f>
        <v/>
      </c>
      <c r="AQ34" s="14">
        <f>$AP$3*EXP(-AO34*$AP$4/$AP$6)</f>
        <v/>
      </c>
      <c r="AR34" s="15">
        <f>($AP$3/$AP$5)*EXP(-AO34*$AP$5/$AP$6)</f>
        <v/>
      </c>
      <c r="AS34" s="15">
        <f>-$AP$3*EXP(-AO34*$AP$5/$AP$6)</f>
        <v/>
      </c>
    </row>
    <row r="35">
      <c r="A35" s="13">
        <f>A34+$G$2</f>
        <v/>
      </c>
      <c r="B35" s="14">
        <f>($B$3/$B$4)*(1-EXP(-A35*$B$4/$B$6))</f>
        <v/>
      </c>
      <c r="C35" s="14">
        <f>$B$3*EXP(-A35*$B$4/$B$6)</f>
        <v/>
      </c>
      <c r="D35" s="15">
        <f>($B$3/$B$5)*EXP(-A35*$B$5/$B$6)</f>
        <v/>
      </c>
      <c r="E35" s="15">
        <f>-$B$3*EXP(-A35*$B$5/$B$6)</f>
        <v/>
      </c>
      <c r="T35" s="13">
        <f>T34+$Z$2</f>
        <v/>
      </c>
      <c r="U35" s="14">
        <f>($U$3/$U$4)*(1-EXP(-T35*$U$4/$U$6))</f>
        <v/>
      </c>
      <c r="V35" s="14">
        <f>$U$3*EXP(-T35*$U$4/$U$6)</f>
        <v/>
      </c>
      <c r="W35" s="15">
        <f>($U$3/$U$5)*EXP(-T35*$U$5/$U$6)</f>
        <v/>
      </c>
      <c r="X35" s="15">
        <f>-$U$3*EXP(-T35*$U$5/$U$6)</f>
        <v/>
      </c>
      <c r="AO35" s="13">
        <f>AO34+$AU$2</f>
        <v/>
      </c>
      <c r="AP35" s="14">
        <f>($AP$3/$AP$4)*(1-EXP(-AO35*$AP$4/$AP$6))</f>
        <v/>
      </c>
      <c r="AQ35" s="14">
        <f>$AP$3*EXP(-AO35*$AP$4/$AP$6)</f>
        <v/>
      </c>
      <c r="AR35" s="15">
        <f>($AP$3/$AP$5)*EXP(-AO35*$AP$5/$AP$6)</f>
        <v/>
      </c>
      <c r="AS35" s="15">
        <f>-$AP$3*EXP(-AO35*$AP$5/$AP$6)</f>
        <v/>
      </c>
    </row>
    <row r="36">
      <c r="A36" s="13">
        <f>A35+$G$2</f>
        <v/>
      </c>
      <c r="B36" s="14">
        <f>($B$3/$B$4)*(1-EXP(-A36*$B$4/$B$6))</f>
        <v/>
      </c>
      <c r="C36" s="14">
        <f>$B$3*EXP(-A36*$B$4/$B$6)</f>
        <v/>
      </c>
      <c r="D36" s="15">
        <f>($B$3/$B$5)*EXP(-A36*$B$5/$B$6)</f>
        <v/>
      </c>
      <c r="E36" s="15">
        <f>-$B$3*EXP(-A36*$B$5/$B$6)</f>
        <v/>
      </c>
      <c r="T36" s="13">
        <f>T35+$Z$2</f>
        <v/>
      </c>
      <c r="U36" s="14">
        <f>($U$3/$U$4)*(1-EXP(-T36*$U$4/$U$6))</f>
        <v/>
      </c>
      <c r="V36" s="14">
        <f>$U$3*EXP(-T36*$U$4/$U$6)</f>
        <v/>
      </c>
      <c r="W36" s="15">
        <f>($U$3/$U$5)*EXP(-T36*$U$5/$U$6)</f>
        <v/>
      </c>
      <c r="X36" s="15">
        <f>-$U$3*EXP(-T36*$U$5/$U$6)</f>
        <v/>
      </c>
      <c r="AO36" s="13">
        <f>AO35+$AU$2</f>
        <v/>
      </c>
      <c r="AP36" s="14">
        <f>($AP$3/$AP$4)*(1-EXP(-AO36*$AP$4/$AP$6))</f>
        <v/>
      </c>
      <c r="AQ36" s="14">
        <f>$AP$3*EXP(-AO36*$AP$4/$AP$6)</f>
        <v/>
      </c>
      <c r="AR36" s="15">
        <f>($AP$3/$AP$5)*EXP(-AO36*$AP$5/$AP$6)</f>
        <v/>
      </c>
      <c r="AS36" s="15">
        <f>-$AP$3*EXP(-AO36*$AP$5/$AP$6)</f>
        <v/>
      </c>
    </row>
    <row r="37">
      <c r="A37" s="13">
        <f>A36+$G$2</f>
        <v/>
      </c>
      <c r="B37" s="14">
        <f>($B$3/$B$4)*(1-EXP(-A37*$B$4/$B$6))</f>
        <v/>
      </c>
      <c r="C37" s="14">
        <f>$B$3*EXP(-A37*$B$4/$B$6)</f>
        <v/>
      </c>
      <c r="D37" s="15">
        <f>($B$3/$B$5)*EXP(-A37*$B$5/$B$6)</f>
        <v/>
      </c>
      <c r="E37" s="15">
        <f>-$B$3*EXP(-A37*$B$5/$B$6)</f>
        <v/>
      </c>
      <c r="T37" s="13">
        <f>T36+$Z$2</f>
        <v/>
      </c>
      <c r="U37" s="14">
        <f>($U$3/$U$4)*(1-EXP(-T37*$U$4/$U$6))</f>
        <v/>
      </c>
      <c r="V37" s="14">
        <f>$U$3*EXP(-T37*$U$4/$U$6)</f>
        <v/>
      </c>
      <c r="W37" s="15">
        <f>($U$3/$U$5)*EXP(-T37*$U$5/$U$6)</f>
        <v/>
      </c>
      <c r="X37" s="15">
        <f>-$U$3*EXP(-T37*$U$5/$U$6)</f>
        <v/>
      </c>
      <c r="AO37" s="13">
        <f>AO36+$AU$2</f>
        <v/>
      </c>
      <c r="AP37" s="14">
        <f>($AP$3/$AP$4)*(1-EXP(-AO37*$AP$4/$AP$6))</f>
        <v/>
      </c>
      <c r="AQ37" s="14">
        <f>$AP$3*EXP(-AO37*$AP$4/$AP$6)</f>
        <v/>
      </c>
      <c r="AR37" s="15">
        <f>($AP$3/$AP$5)*EXP(-AO37*$AP$5/$AP$6)</f>
        <v/>
      </c>
      <c r="AS37" s="15">
        <f>-$AP$3*EXP(-AO37*$AP$5/$AP$6)</f>
        <v/>
      </c>
    </row>
    <row r="38">
      <c r="A38" s="13">
        <f>A37+$G$2</f>
        <v/>
      </c>
      <c r="B38" s="14">
        <f>($B$3/$B$4)*(1-EXP(-A38*$B$4/$B$6))</f>
        <v/>
      </c>
      <c r="C38" s="14">
        <f>$B$3*EXP(-A38*$B$4/$B$6)</f>
        <v/>
      </c>
      <c r="D38" s="15">
        <f>($B$3/$B$5)*EXP(-A38*$B$5/$B$6)</f>
        <v/>
      </c>
      <c r="E38" s="15">
        <f>-$B$3*EXP(-A38*$B$5/$B$6)</f>
        <v/>
      </c>
      <c r="T38" s="13">
        <f>T37+$Z$2</f>
        <v/>
      </c>
      <c r="U38" s="14">
        <f>($U$3/$U$4)*(1-EXP(-T38*$U$4/$U$6))</f>
        <v/>
      </c>
      <c r="V38" s="14">
        <f>$U$3*EXP(-T38*$U$4/$U$6)</f>
        <v/>
      </c>
      <c r="W38" s="15">
        <f>($U$3/$U$5)*EXP(-T38*$U$5/$U$6)</f>
        <v/>
      </c>
      <c r="X38" s="15">
        <f>-$U$3*EXP(-T38*$U$5/$U$6)</f>
        <v/>
      </c>
      <c r="AO38" s="13">
        <f>AO37+$AU$2</f>
        <v/>
      </c>
      <c r="AP38" s="14">
        <f>($AP$3/$AP$4)*(1-EXP(-AO38*$AP$4/$AP$6))</f>
        <v/>
      </c>
      <c r="AQ38" s="14">
        <f>$AP$3*EXP(-AO38*$AP$4/$AP$6)</f>
        <v/>
      </c>
      <c r="AR38" s="15">
        <f>($AP$3/$AP$5)*EXP(-AO38*$AP$5/$AP$6)</f>
        <v/>
      </c>
      <c r="AS38" s="15">
        <f>-$AP$3*EXP(-AO38*$AP$5/$AP$6)</f>
        <v/>
      </c>
    </row>
    <row r="39">
      <c r="A39" s="13">
        <f>A38+$G$2</f>
        <v/>
      </c>
      <c r="B39" s="14">
        <f>($B$3/$B$4)*(1-EXP(-A39*$B$4/$B$6))</f>
        <v/>
      </c>
      <c r="C39" s="14">
        <f>$B$3*EXP(-A39*$B$4/$B$6)</f>
        <v/>
      </c>
      <c r="D39" s="15">
        <f>($B$3/$B$5)*EXP(-A39*$B$5/$B$6)</f>
        <v/>
      </c>
      <c r="E39" s="15">
        <f>-$B$3*EXP(-A39*$B$5/$B$6)</f>
        <v/>
      </c>
      <c r="T39" s="13">
        <f>T38+$Z$2</f>
        <v/>
      </c>
      <c r="U39" s="14">
        <f>($U$3/$U$4)*(1-EXP(-T39*$U$4/$U$6))</f>
        <v/>
      </c>
      <c r="V39" s="14">
        <f>$U$3*EXP(-T39*$U$4/$U$6)</f>
        <v/>
      </c>
      <c r="W39" s="15">
        <f>($U$3/$U$5)*EXP(-T39*$U$5/$U$6)</f>
        <v/>
      </c>
      <c r="X39" s="15">
        <f>-$U$3*EXP(-T39*$U$5/$U$6)</f>
        <v/>
      </c>
      <c r="AO39" s="13">
        <f>AO38+$AU$2</f>
        <v/>
      </c>
      <c r="AP39" s="14">
        <f>($AP$3/$AP$4)*(1-EXP(-AO39*$AP$4/$AP$6))</f>
        <v/>
      </c>
      <c r="AQ39" s="14">
        <f>$AP$3*EXP(-AO39*$AP$4/$AP$6)</f>
        <v/>
      </c>
      <c r="AR39" s="15">
        <f>($AP$3/$AP$5)*EXP(-AO39*$AP$5/$AP$6)</f>
        <v/>
      </c>
      <c r="AS39" s="15">
        <f>-$AP$3*EXP(-AO39*$AP$5/$AP$6)</f>
        <v/>
      </c>
    </row>
    <row r="40">
      <c r="A40" s="13">
        <f>A39+$G$2</f>
        <v/>
      </c>
      <c r="B40" s="14">
        <f>($B$3/$B$4)*(1-EXP(-A40*$B$4/$B$6))</f>
        <v/>
      </c>
      <c r="C40" s="14">
        <f>$B$3*EXP(-A40*$B$4/$B$6)</f>
        <v/>
      </c>
      <c r="D40" s="15">
        <f>($B$3/$B$5)*EXP(-A40*$B$5/$B$6)</f>
        <v/>
      </c>
      <c r="E40" s="15">
        <f>-$B$3*EXP(-A40*$B$5/$B$6)</f>
        <v/>
      </c>
      <c r="T40" s="13">
        <f>T39+$Z$2</f>
        <v/>
      </c>
      <c r="U40" s="14">
        <f>($U$3/$U$4)*(1-EXP(-T40*$U$4/$U$6))</f>
        <v/>
      </c>
      <c r="V40" s="14">
        <f>$U$3*EXP(-T40*$U$4/$U$6)</f>
        <v/>
      </c>
      <c r="W40" s="15">
        <f>($U$3/$U$5)*EXP(-T40*$U$5/$U$6)</f>
        <v/>
      </c>
      <c r="X40" s="15">
        <f>-$U$3*EXP(-T40*$U$5/$U$6)</f>
        <v/>
      </c>
      <c r="AO40" s="13">
        <f>AO39+$AU$2</f>
        <v/>
      </c>
      <c r="AP40" s="14">
        <f>($AP$3/$AP$4)*(1-EXP(-AO40*$AP$4/$AP$6))</f>
        <v/>
      </c>
      <c r="AQ40" s="14">
        <f>$AP$3*EXP(-AO40*$AP$4/$AP$6)</f>
        <v/>
      </c>
      <c r="AR40" s="15">
        <f>($AP$3/$AP$5)*EXP(-AO40*$AP$5/$AP$6)</f>
        <v/>
      </c>
      <c r="AS40" s="15">
        <f>-$AP$3*EXP(-AO40*$AP$5/$AP$6)</f>
        <v/>
      </c>
    </row>
    <row r="41">
      <c r="A41" s="13">
        <f>A40+$G$2</f>
        <v/>
      </c>
      <c r="B41" s="14">
        <f>($B$3/$B$4)*(1-EXP(-A41*$B$4/$B$6))</f>
        <v/>
      </c>
      <c r="C41" s="14">
        <f>$B$3*EXP(-A41*$B$4/$B$6)</f>
        <v/>
      </c>
      <c r="D41" s="15">
        <f>($B$3/$B$5)*EXP(-A41*$B$5/$B$6)</f>
        <v/>
      </c>
      <c r="E41" s="15">
        <f>-$B$3*EXP(-A41*$B$5/$B$6)</f>
        <v/>
      </c>
      <c r="T41" s="13">
        <f>T40+$Z$2</f>
        <v/>
      </c>
      <c r="U41" s="14">
        <f>($U$3/$U$4)*(1-EXP(-T41*$U$4/$U$6))</f>
        <v/>
      </c>
      <c r="V41" s="14">
        <f>$U$3*EXP(-T41*$U$4/$U$6)</f>
        <v/>
      </c>
      <c r="W41" s="15">
        <f>($U$3/$U$5)*EXP(-T41*$U$5/$U$6)</f>
        <v/>
      </c>
      <c r="X41" s="15">
        <f>-$U$3*EXP(-T41*$U$5/$U$6)</f>
        <v/>
      </c>
      <c r="AO41" s="13">
        <f>AO40+$AU$2</f>
        <v/>
      </c>
      <c r="AP41" s="14">
        <f>($AP$3/$AP$4)*(1-EXP(-AO41*$AP$4/$AP$6))</f>
        <v/>
      </c>
      <c r="AQ41" s="14">
        <f>$AP$3*EXP(-AO41*$AP$4/$AP$6)</f>
        <v/>
      </c>
      <c r="AR41" s="15">
        <f>($AP$3/$AP$5)*EXP(-AO41*$AP$5/$AP$6)</f>
        <v/>
      </c>
      <c r="AS41" s="15">
        <f>-$AP$3*EXP(-AO41*$AP$5/$AP$6)</f>
        <v/>
      </c>
    </row>
    <row r="42">
      <c r="A42" s="13">
        <f>A41+$G$2</f>
        <v/>
      </c>
      <c r="B42" s="14">
        <f>($B$3/$B$4)*(1-EXP(-A42*$B$4/$B$6))</f>
        <v/>
      </c>
      <c r="C42" s="14">
        <f>$B$3*EXP(-A42*$B$4/$B$6)</f>
        <v/>
      </c>
      <c r="D42" s="15">
        <f>($B$3/$B$5)*EXP(-A42*$B$5/$B$6)</f>
        <v/>
      </c>
      <c r="E42" s="15">
        <f>-$B$3*EXP(-A42*$B$5/$B$6)</f>
        <v/>
      </c>
      <c r="T42" s="13">
        <f>T41+$Z$2</f>
        <v/>
      </c>
      <c r="U42" s="14">
        <f>($U$3/$U$4)*(1-EXP(-T42*$U$4/$U$6))</f>
        <v/>
      </c>
      <c r="V42" s="14">
        <f>$U$3*EXP(-T42*$U$4/$U$6)</f>
        <v/>
      </c>
      <c r="W42" s="15">
        <f>($U$3/$U$5)*EXP(-T42*$U$5/$U$6)</f>
        <v/>
      </c>
      <c r="X42" s="15">
        <f>-$U$3*EXP(-T42*$U$5/$U$6)</f>
        <v/>
      </c>
      <c r="AO42" s="13">
        <f>AO41+$AU$2</f>
        <v/>
      </c>
      <c r="AP42" s="14">
        <f>($AP$3/$AP$4)*(1-EXP(-AO42*$AP$4/$AP$6))</f>
        <v/>
      </c>
      <c r="AQ42" s="14">
        <f>$AP$3*EXP(-AO42*$AP$4/$AP$6)</f>
        <v/>
      </c>
      <c r="AR42" s="15">
        <f>($AP$3/$AP$5)*EXP(-AO42*$AP$5/$AP$6)</f>
        <v/>
      </c>
      <c r="AS42" s="15">
        <f>-$AP$3*EXP(-AO42*$AP$5/$AP$6)</f>
        <v/>
      </c>
    </row>
    <row r="43">
      <c r="A43" s="13">
        <f>A42+$G$2</f>
        <v/>
      </c>
      <c r="B43" s="14">
        <f>($B$3/$B$4)*(1-EXP(-A43*$B$4/$B$6))</f>
        <v/>
      </c>
      <c r="C43" s="14">
        <f>$B$3*EXP(-A43*$B$4/$B$6)</f>
        <v/>
      </c>
      <c r="D43" s="15">
        <f>($B$3/$B$5)*EXP(-A43*$B$5/$B$6)</f>
        <v/>
      </c>
      <c r="E43" s="15">
        <f>-$B$3*EXP(-A43*$B$5/$B$6)</f>
        <v/>
      </c>
      <c r="T43" s="13">
        <f>T42+$Z$2</f>
        <v/>
      </c>
      <c r="U43" s="14">
        <f>($U$3/$U$4)*(1-EXP(-T43*$U$4/$U$6))</f>
        <v/>
      </c>
      <c r="V43" s="14">
        <f>$U$3*EXP(-T43*$U$4/$U$6)</f>
        <v/>
      </c>
      <c r="W43" s="15">
        <f>($U$3/$U$5)*EXP(-T43*$U$5/$U$6)</f>
        <v/>
      </c>
      <c r="X43" s="15">
        <f>-$U$3*EXP(-T43*$U$5/$U$6)</f>
        <v/>
      </c>
      <c r="AO43" s="13">
        <f>AO42+$AU$2</f>
        <v/>
      </c>
      <c r="AP43" s="14">
        <f>($AP$3/$AP$4)*(1-EXP(-AO43*$AP$4/$AP$6))</f>
        <v/>
      </c>
      <c r="AQ43" s="14">
        <f>$AP$3*EXP(-AO43*$AP$4/$AP$6)</f>
        <v/>
      </c>
      <c r="AR43" s="15">
        <f>($AP$3/$AP$5)*EXP(-AO43*$AP$5/$AP$6)</f>
        <v/>
      </c>
      <c r="AS43" s="15">
        <f>-$AP$3*EXP(-AO43*$AP$5/$AP$6)</f>
        <v/>
      </c>
    </row>
    <row r="44">
      <c r="A44" s="13">
        <f>A43+$G$2</f>
        <v/>
      </c>
      <c r="B44" s="14">
        <f>($B$3/$B$4)*(1-EXP(-A44*$B$4/$B$6))</f>
        <v/>
      </c>
      <c r="C44" s="14">
        <f>$B$3*EXP(-A44*$B$4/$B$6)</f>
        <v/>
      </c>
      <c r="D44" s="15">
        <f>($B$3/$B$5)*EXP(-A44*$B$5/$B$6)</f>
        <v/>
      </c>
      <c r="E44" s="15">
        <f>-$B$3*EXP(-A44*$B$5/$B$6)</f>
        <v/>
      </c>
      <c r="T44" s="13">
        <f>T43+$Z$2</f>
        <v/>
      </c>
      <c r="U44" s="14">
        <f>($U$3/$U$4)*(1-EXP(-T44*$U$4/$U$6))</f>
        <v/>
      </c>
      <c r="V44" s="14">
        <f>$U$3*EXP(-T44*$U$4/$U$6)</f>
        <v/>
      </c>
      <c r="W44" s="15">
        <f>($U$3/$U$5)*EXP(-T44*$U$5/$U$6)</f>
        <v/>
      </c>
      <c r="X44" s="15">
        <f>-$U$3*EXP(-T44*$U$5/$U$6)</f>
        <v/>
      </c>
      <c r="AO44" s="13">
        <f>AO43+$AU$2</f>
        <v/>
      </c>
      <c r="AP44" s="14">
        <f>($AP$3/$AP$4)*(1-EXP(-AO44*$AP$4/$AP$6))</f>
        <v/>
      </c>
      <c r="AQ44" s="14">
        <f>$AP$3*EXP(-AO44*$AP$4/$AP$6)</f>
        <v/>
      </c>
      <c r="AR44" s="15">
        <f>($AP$3/$AP$5)*EXP(-AO44*$AP$5/$AP$6)</f>
        <v/>
      </c>
      <c r="AS44" s="15">
        <f>-$AP$3*EXP(-AO44*$AP$5/$AP$6)</f>
        <v/>
      </c>
    </row>
    <row r="45">
      <c r="A45" s="13">
        <f>A44+$G$2</f>
        <v/>
      </c>
      <c r="B45" s="14">
        <f>($B$3/$B$4)*(1-EXP(-A45*$B$4/$B$6))</f>
        <v/>
      </c>
      <c r="C45" s="14">
        <f>$B$3*EXP(-A45*$B$4/$B$6)</f>
        <v/>
      </c>
      <c r="D45" s="15">
        <f>($B$3/$B$5)*EXP(-A45*$B$5/$B$6)</f>
        <v/>
      </c>
      <c r="E45" s="15">
        <f>-$B$3*EXP(-A45*$B$5/$B$6)</f>
        <v/>
      </c>
      <c r="T45" s="13">
        <f>T44+$Z$2</f>
        <v/>
      </c>
      <c r="U45" s="14">
        <f>($U$3/$U$4)*(1-EXP(-T45*$U$4/$U$6))</f>
        <v/>
      </c>
      <c r="V45" s="14">
        <f>$U$3*EXP(-T45*$U$4/$U$6)</f>
        <v/>
      </c>
      <c r="W45" s="15">
        <f>($U$3/$U$5)*EXP(-T45*$U$5/$U$6)</f>
        <v/>
      </c>
      <c r="X45" s="15">
        <f>-$U$3*EXP(-T45*$U$5/$U$6)</f>
        <v/>
      </c>
      <c r="AO45" s="13">
        <f>AO44+$AU$2</f>
        <v/>
      </c>
      <c r="AP45" s="14">
        <f>($AP$3/$AP$4)*(1-EXP(-AO45*$AP$4/$AP$6))</f>
        <v/>
      </c>
      <c r="AQ45" s="14">
        <f>$AP$3*EXP(-AO45*$AP$4/$AP$6)</f>
        <v/>
      </c>
      <c r="AR45" s="15">
        <f>($AP$3/$AP$5)*EXP(-AO45*$AP$5/$AP$6)</f>
        <v/>
      </c>
      <c r="AS45" s="15">
        <f>-$AP$3*EXP(-AO45*$AP$5/$AP$6)</f>
        <v/>
      </c>
    </row>
    <row r="46">
      <c r="A46" s="13">
        <f>A45+$G$2</f>
        <v/>
      </c>
      <c r="B46" s="14">
        <f>($B$3/$B$4)*(1-EXP(-A46*$B$4/$B$6))</f>
        <v/>
      </c>
      <c r="C46" s="14">
        <f>$B$3*EXP(-A46*$B$4/$B$6)</f>
        <v/>
      </c>
      <c r="D46" s="15">
        <f>($B$3/$B$5)*EXP(-A46*$B$5/$B$6)</f>
        <v/>
      </c>
      <c r="E46" s="15">
        <f>-$B$3*EXP(-A46*$B$5/$B$6)</f>
        <v/>
      </c>
      <c r="T46" s="13">
        <f>T45+$Z$2</f>
        <v/>
      </c>
      <c r="U46" s="14">
        <f>($U$3/$U$4)*(1-EXP(-T46*$U$4/$U$6))</f>
        <v/>
      </c>
      <c r="V46" s="14">
        <f>$U$3*EXP(-T46*$U$4/$U$6)</f>
        <v/>
      </c>
      <c r="W46" s="15">
        <f>($U$3/$U$5)*EXP(-T46*$U$5/$U$6)</f>
        <v/>
      </c>
      <c r="X46" s="15">
        <f>-$U$3*EXP(-T46*$U$5/$U$6)</f>
        <v/>
      </c>
      <c r="AO46" s="13">
        <f>AO45+$AU$2</f>
        <v/>
      </c>
      <c r="AP46" s="14">
        <f>($AP$3/$AP$4)*(1-EXP(-AO46*$AP$4/$AP$6))</f>
        <v/>
      </c>
      <c r="AQ46" s="14">
        <f>$AP$3*EXP(-AO46*$AP$4/$AP$6)</f>
        <v/>
      </c>
      <c r="AR46" s="15">
        <f>($AP$3/$AP$5)*EXP(-AO46*$AP$5/$AP$6)</f>
        <v/>
      </c>
      <c r="AS46" s="15">
        <f>-$AP$3*EXP(-AO46*$AP$5/$AP$6)</f>
        <v/>
      </c>
    </row>
    <row r="47">
      <c r="A47" s="13">
        <f>A46+$G$2</f>
        <v/>
      </c>
      <c r="B47" s="14">
        <f>($B$3/$B$4)*(1-EXP(-A47*$B$4/$B$6))</f>
        <v/>
      </c>
      <c r="C47" s="14">
        <f>$B$3*EXP(-A47*$B$4/$B$6)</f>
        <v/>
      </c>
      <c r="D47" s="15">
        <f>($B$3/$B$5)*EXP(-A47*$B$5/$B$6)</f>
        <v/>
      </c>
      <c r="E47" s="15">
        <f>-$B$3*EXP(-A47*$B$5/$B$6)</f>
        <v/>
      </c>
      <c r="T47" s="13">
        <f>T46+$Z$2</f>
        <v/>
      </c>
      <c r="U47" s="14">
        <f>($U$3/$U$4)*(1-EXP(-T47*$U$4/$U$6))</f>
        <v/>
      </c>
      <c r="V47" s="14">
        <f>$U$3*EXP(-T47*$U$4/$U$6)</f>
        <v/>
      </c>
      <c r="W47" s="15">
        <f>($U$3/$U$5)*EXP(-T47*$U$5/$U$6)</f>
        <v/>
      </c>
      <c r="X47" s="15">
        <f>-$U$3*EXP(-T47*$U$5/$U$6)</f>
        <v/>
      </c>
      <c r="AO47" s="13">
        <f>AO46+$AU$2</f>
        <v/>
      </c>
      <c r="AP47" s="14">
        <f>($AP$3/$AP$4)*(1-EXP(-AO47*$AP$4/$AP$6))</f>
        <v/>
      </c>
      <c r="AQ47" s="14">
        <f>$AP$3*EXP(-AO47*$AP$4/$AP$6)</f>
        <v/>
      </c>
      <c r="AR47" s="15">
        <f>($AP$3/$AP$5)*EXP(-AO47*$AP$5/$AP$6)</f>
        <v/>
      </c>
      <c r="AS47" s="15">
        <f>-$AP$3*EXP(-AO47*$AP$5/$AP$6)</f>
        <v/>
      </c>
    </row>
    <row r="48">
      <c r="A48" s="13">
        <f>A47+$G$2</f>
        <v/>
      </c>
      <c r="B48" s="14">
        <f>($B$3/$B$4)*(1-EXP(-A48*$B$4/$B$6))</f>
        <v/>
      </c>
      <c r="C48" s="14">
        <f>$B$3*EXP(-A48*$B$4/$B$6)</f>
        <v/>
      </c>
      <c r="D48" s="15">
        <f>($B$3/$B$5)*EXP(-A48*$B$5/$B$6)</f>
        <v/>
      </c>
      <c r="E48" s="15">
        <f>-$B$3*EXP(-A48*$B$5/$B$6)</f>
        <v/>
      </c>
      <c r="T48" s="13">
        <f>T47+$Z$2</f>
        <v/>
      </c>
      <c r="U48" s="14">
        <f>($U$3/$U$4)*(1-EXP(-T48*$U$4/$U$6))</f>
        <v/>
      </c>
      <c r="V48" s="14">
        <f>$U$3*EXP(-T48*$U$4/$U$6)</f>
        <v/>
      </c>
      <c r="W48" s="15">
        <f>($U$3/$U$5)*EXP(-T48*$U$5/$U$6)</f>
        <v/>
      </c>
      <c r="X48" s="15">
        <f>-$U$3*EXP(-T48*$U$5/$U$6)</f>
        <v/>
      </c>
      <c r="AO48" s="13">
        <f>AO47+$AU$2</f>
        <v/>
      </c>
      <c r="AP48" s="14">
        <f>($AP$3/$AP$4)*(1-EXP(-AO48*$AP$4/$AP$6))</f>
        <v/>
      </c>
      <c r="AQ48" s="14">
        <f>$AP$3*EXP(-AO48*$AP$4/$AP$6)</f>
        <v/>
      </c>
      <c r="AR48" s="15">
        <f>($AP$3/$AP$5)*EXP(-AO48*$AP$5/$AP$6)</f>
        <v/>
      </c>
      <c r="AS48" s="15">
        <f>-$AP$3*EXP(-AO48*$AP$5/$AP$6)</f>
        <v/>
      </c>
    </row>
    <row r="49">
      <c r="A49" s="13">
        <f>A48+$G$2</f>
        <v/>
      </c>
      <c r="B49" s="14">
        <f>($B$3/$B$4)*(1-EXP(-A49*$B$4/$B$6))</f>
        <v/>
      </c>
      <c r="C49" s="14">
        <f>$B$3*EXP(-A49*$B$4/$B$6)</f>
        <v/>
      </c>
      <c r="D49" s="15">
        <f>($B$3/$B$5)*EXP(-A49*$B$5/$B$6)</f>
        <v/>
      </c>
      <c r="E49" s="15">
        <f>-$B$3*EXP(-A49*$B$5/$B$6)</f>
        <v/>
      </c>
      <c r="T49" s="13">
        <f>T48+$Z$2</f>
        <v/>
      </c>
      <c r="U49" s="14">
        <f>($U$3/$U$4)*(1-EXP(-T49*$U$4/$U$6))</f>
        <v/>
      </c>
      <c r="V49" s="14">
        <f>$U$3*EXP(-T49*$U$4/$U$6)</f>
        <v/>
      </c>
      <c r="W49" s="15">
        <f>($U$3/$U$5)*EXP(-T49*$U$5/$U$6)</f>
        <v/>
      </c>
      <c r="X49" s="15">
        <f>-$U$3*EXP(-T49*$U$5/$U$6)</f>
        <v/>
      </c>
      <c r="AO49" s="13">
        <f>AO48+$AU$2</f>
        <v/>
      </c>
      <c r="AP49" s="14">
        <f>($AP$3/$AP$4)*(1-EXP(-AO49*$AP$4/$AP$6))</f>
        <v/>
      </c>
      <c r="AQ49" s="14">
        <f>$AP$3*EXP(-AO49*$AP$4/$AP$6)</f>
        <v/>
      </c>
      <c r="AR49" s="15">
        <f>($AP$3/$AP$5)*EXP(-AO49*$AP$5/$AP$6)</f>
        <v/>
      </c>
      <c r="AS49" s="15">
        <f>-$AP$3*EXP(-AO49*$AP$5/$AP$6)</f>
        <v/>
      </c>
    </row>
    <row r="50">
      <c r="A50" s="13">
        <f>A49+$G$2</f>
        <v/>
      </c>
      <c r="B50" s="14">
        <f>($B$3/$B$4)*(1-EXP(-A50*$B$4/$B$6))</f>
        <v/>
      </c>
      <c r="C50" s="14">
        <f>$B$3*EXP(-A50*$B$4/$B$6)</f>
        <v/>
      </c>
      <c r="D50" s="15">
        <f>($B$3/$B$5)*EXP(-A50*$B$5/$B$6)</f>
        <v/>
      </c>
      <c r="E50" s="15">
        <f>-$B$3*EXP(-A50*$B$5/$B$6)</f>
        <v/>
      </c>
      <c r="T50" s="13">
        <f>T49+$Z$2</f>
        <v/>
      </c>
      <c r="U50" s="14">
        <f>($U$3/$U$4)*(1-EXP(-T50*$U$4/$U$6))</f>
        <v/>
      </c>
      <c r="V50" s="14">
        <f>$U$3*EXP(-T50*$U$4/$U$6)</f>
        <v/>
      </c>
      <c r="W50" s="15">
        <f>($U$3/$U$5)*EXP(-T50*$U$5/$U$6)</f>
        <v/>
      </c>
      <c r="X50" s="15">
        <f>-$U$3*EXP(-T50*$U$5/$U$6)</f>
        <v/>
      </c>
      <c r="AO50" s="13">
        <f>AO49+$AU$2</f>
        <v/>
      </c>
      <c r="AP50" s="14">
        <f>($AP$3/$AP$4)*(1-EXP(-AO50*$AP$4/$AP$6))</f>
        <v/>
      </c>
      <c r="AQ50" s="14">
        <f>$AP$3*EXP(-AO50*$AP$4/$AP$6)</f>
        <v/>
      </c>
      <c r="AR50" s="15">
        <f>($AP$3/$AP$5)*EXP(-AO50*$AP$5/$AP$6)</f>
        <v/>
      </c>
      <c r="AS50" s="15">
        <f>-$AP$3*EXP(-AO50*$AP$5/$AP$6)</f>
        <v/>
      </c>
    </row>
    <row r="51">
      <c r="A51" s="13">
        <f>A50+$G$2</f>
        <v/>
      </c>
      <c r="B51" s="14">
        <f>($B$3/$B$4)*(1-EXP(-A51*$B$4/$B$6))</f>
        <v/>
      </c>
      <c r="C51" s="14">
        <f>$B$3*EXP(-A51*$B$4/$B$6)</f>
        <v/>
      </c>
      <c r="D51" s="15">
        <f>($B$3/$B$5)*EXP(-A51*$B$5/$B$6)</f>
        <v/>
      </c>
      <c r="E51" s="15">
        <f>-$B$3*EXP(-A51*$B$5/$B$6)</f>
        <v/>
      </c>
      <c r="T51" s="13">
        <f>T50+$Z$2</f>
        <v/>
      </c>
      <c r="U51" s="14">
        <f>($U$3/$U$4)*(1-EXP(-T51*$U$4/$U$6))</f>
        <v/>
      </c>
      <c r="V51" s="14">
        <f>$U$3*EXP(-T51*$U$4/$U$6)</f>
        <v/>
      </c>
      <c r="W51" s="15">
        <f>($U$3/$U$5)*EXP(-T51*$U$5/$U$6)</f>
        <v/>
      </c>
      <c r="X51" s="15">
        <f>-$U$3*EXP(-T51*$U$5/$U$6)</f>
        <v/>
      </c>
      <c r="AO51" s="13">
        <f>AO50+$AU$2</f>
        <v/>
      </c>
      <c r="AP51" s="14">
        <f>($AP$3/$AP$4)*(1-EXP(-AO51*$AP$4/$AP$6))</f>
        <v/>
      </c>
      <c r="AQ51" s="14">
        <f>$AP$3*EXP(-AO51*$AP$4/$AP$6)</f>
        <v/>
      </c>
      <c r="AR51" s="15">
        <f>($AP$3/$AP$5)*EXP(-AO51*$AP$5/$AP$6)</f>
        <v/>
      </c>
      <c r="AS51" s="15">
        <f>-$AP$3*EXP(-AO51*$AP$5/$AP$6)</f>
        <v/>
      </c>
    </row>
    <row r="52">
      <c r="A52" s="13">
        <f>A51+$G$2</f>
        <v/>
      </c>
      <c r="B52" s="14">
        <f>($B$3/$B$4)*(1-EXP(-A52*$B$4/$B$6))</f>
        <v/>
      </c>
      <c r="C52" s="14">
        <f>$B$3*EXP(-A52*$B$4/$B$6)</f>
        <v/>
      </c>
      <c r="D52" s="15">
        <f>($B$3/$B$5)*EXP(-A52*$B$5/$B$6)</f>
        <v/>
      </c>
      <c r="E52" s="15">
        <f>-$B$3*EXP(-A52*$B$5/$B$6)</f>
        <v/>
      </c>
      <c r="T52" s="13">
        <f>T51+$Z$2</f>
        <v/>
      </c>
      <c r="U52" s="14">
        <f>($U$3/$U$4)*(1-EXP(-T52*$U$4/$U$6))</f>
        <v/>
      </c>
      <c r="V52" s="14">
        <f>$U$3*EXP(-T52*$U$4/$U$6)</f>
        <v/>
      </c>
      <c r="W52" s="15">
        <f>($U$3/$U$5)*EXP(-T52*$U$5/$U$6)</f>
        <v/>
      </c>
      <c r="X52" s="15">
        <f>-$U$3*EXP(-T52*$U$5/$U$6)</f>
        <v/>
      </c>
      <c r="AO52" s="13">
        <f>AO51+$AU$2</f>
        <v/>
      </c>
      <c r="AP52" s="14">
        <f>($AP$3/$AP$4)*(1-EXP(-AO52*$AP$4/$AP$6))</f>
        <v/>
      </c>
      <c r="AQ52" s="14">
        <f>$AP$3*EXP(-AO52*$AP$4/$AP$6)</f>
        <v/>
      </c>
      <c r="AR52" s="15">
        <f>($AP$3/$AP$5)*EXP(-AO52*$AP$5/$AP$6)</f>
        <v/>
      </c>
      <c r="AS52" s="15">
        <f>-$AP$3*EXP(-AO52*$AP$5/$AP$6)</f>
        <v/>
      </c>
    </row>
    <row r="53">
      <c r="A53" s="13">
        <f>A52+$G$2</f>
        <v/>
      </c>
      <c r="B53" s="14">
        <f>($B$3/$B$4)*(1-EXP(-A53*$B$4/$B$6))</f>
        <v/>
      </c>
      <c r="C53" s="14">
        <f>$B$3*EXP(-A53*$B$4/$B$6)</f>
        <v/>
      </c>
      <c r="D53" s="15">
        <f>($B$3/$B$5)*EXP(-A53*$B$5/$B$6)</f>
        <v/>
      </c>
      <c r="E53" s="15">
        <f>-$B$3*EXP(-A53*$B$5/$B$6)</f>
        <v/>
      </c>
      <c r="T53" s="13">
        <f>T52+$Z$2</f>
        <v/>
      </c>
      <c r="U53" s="14">
        <f>($U$3/$U$4)*(1-EXP(-T53*$U$4/$U$6))</f>
        <v/>
      </c>
      <c r="V53" s="14">
        <f>$U$3*EXP(-T53*$U$4/$U$6)</f>
        <v/>
      </c>
      <c r="W53" s="15">
        <f>($U$3/$U$5)*EXP(-T53*$U$5/$U$6)</f>
        <v/>
      </c>
      <c r="X53" s="15">
        <f>-$U$3*EXP(-T53*$U$5/$U$6)</f>
        <v/>
      </c>
      <c r="AO53" s="13">
        <f>AO52+$AU$2</f>
        <v/>
      </c>
      <c r="AP53" s="14">
        <f>($AP$3/$AP$4)*(1-EXP(-AO53*$AP$4/$AP$6))</f>
        <v/>
      </c>
      <c r="AQ53" s="14">
        <f>$AP$3*EXP(-AO53*$AP$4/$AP$6)</f>
        <v/>
      </c>
      <c r="AR53" s="15">
        <f>($AP$3/$AP$5)*EXP(-AO53*$AP$5/$AP$6)</f>
        <v/>
      </c>
      <c r="AS53" s="15">
        <f>-$AP$3*EXP(-AO53*$AP$5/$AP$6)</f>
        <v/>
      </c>
    </row>
    <row r="54">
      <c r="A54" s="13">
        <f>A53+$G$2</f>
        <v/>
      </c>
      <c r="B54" s="14">
        <f>($B$3/$B$4)*(1-EXP(-A54*$B$4/$B$6))</f>
        <v/>
      </c>
      <c r="C54" s="14">
        <f>$B$3*EXP(-A54*$B$4/$B$6)</f>
        <v/>
      </c>
      <c r="D54" s="15">
        <f>($B$3/$B$5)*EXP(-A54*$B$5/$B$6)</f>
        <v/>
      </c>
      <c r="E54" s="15">
        <f>-$B$3*EXP(-A54*$B$5/$B$6)</f>
        <v/>
      </c>
      <c r="T54" s="13">
        <f>T53+$Z$2</f>
        <v/>
      </c>
      <c r="U54" s="14">
        <f>($U$3/$U$4)*(1-EXP(-T54*$U$4/$U$6))</f>
        <v/>
      </c>
      <c r="V54" s="14">
        <f>$U$3*EXP(-T54*$U$4/$U$6)</f>
        <v/>
      </c>
      <c r="W54" s="15">
        <f>($U$3/$U$5)*EXP(-T54*$U$5/$U$6)</f>
        <v/>
      </c>
      <c r="X54" s="15">
        <f>-$U$3*EXP(-T54*$U$5/$U$6)</f>
        <v/>
      </c>
      <c r="AO54" s="13">
        <f>AO53+$AU$2</f>
        <v/>
      </c>
      <c r="AP54" s="14">
        <f>($AP$3/$AP$4)*(1-EXP(-AO54*$AP$4/$AP$6))</f>
        <v/>
      </c>
      <c r="AQ54" s="14">
        <f>$AP$3*EXP(-AO54*$AP$4/$AP$6)</f>
        <v/>
      </c>
      <c r="AR54" s="15">
        <f>($AP$3/$AP$5)*EXP(-AO54*$AP$5/$AP$6)</f>
        <v/>
      </c>
      <c r="AS54" s="15">
        <f>-$AP$3*EXP(-AO54*$AP$5/$AP$6)</f>
        <v/>
      </c>
    </row>
    <row r="55">
      <c r="A55" s="13">
        <f>A54+$G$2</f>
        <v/>
      </c>
      <c r="B55" s="14">
        <f>($B$3/$B$4)*(1-EXP(-A55*$B$4/$B$6))</f>
        <v/>
      </c>
      <c r="C55" s="14">
        <f>$B$3*EXP(-A55*$B$4/$B$6)</f>
        <v/>
      </c>
      <c r="D55" s="15">
        <f>($B$3/$B$5)*EXP(-A55*$B$5/$B$6)</f>
        <v/>
      </c>
      <c r="E55" s="15">
        <f>-$B$3*EXP(-A55*$B$5/$B$6)</f>
        <v/>
      </c>
      <c r="T55" s="13">
        <f>T54+$Z$2</f>
        <v/>
      </c>
      <c r="U55" s="14">
        <f>($U$3/$U$4)*(1-EXP(-T55*$U$4/$U$6))</f>
        <v/>
      </c>
      <c r="V55" s="14">
        <f>$U$3*EXP(-T55*$U$4/$U$6)</f>
        <v/>
      </c>
      <c r="W55" s="15">
        <f>($U$3/$U$5)*EXP(-T55*$U$5/$U$6)</f>
        <v/>
      </c>
      <c r="X55" s="15">
        <f>-$U$3*EXP(-T55*$U$5/$U$6)</f>
        <v/>
      </c>
      <c r="AO55" s="13">
        <f>AO54+$AU$2</f>
        <v/>
      </c>
      <c r="AP55" s="14">
        <f>($AP$3/$AP$4)*(1-EXP(-AO55*$AP$4/$AP$6))</f>
        <v/>
      </c>
      <c r="AQ55" s="14">
        <f>$AP$3*EXP(-AO55*$AP$4/$AP$6)</f>
        <v/>
      </c>
      <c r="AR55" s="15">
        <f>($AP$3/$AP$5)*EXP(-AO55*$AP$5/$AP$6)</f>
        <v/>
      </c>
      <c r="AS55" s="15">
        <f>-$AP$3*EXP(-AO55*$AP$5/$AP$6)</f>
        <v/>
      </c>
    </row>
    <row r="56">
      <c r="A56" s="13">
        <f>A55+$G$2</f>
        <v/>
      </c>
      <c r="B56" s="14">
        <f>($B$3/$B$4)*(1-EXP(-A56*$B$4/$B$6))</f>
        <v/>
      </c>
      <c r="C56" s="14">
        <f>$B$3*EXP(-A56*$B$4/$B$6)</f>
        <v/>
      </c>
      <c r="D56" s="15">
        <f>($B$3/$B$5)*EXP(-A56*$B$5/$B$6)</f>
        <v/>
      </c>
      <c r="E56" s="15">
        <f>-$B$3*EXP(-A56*$B$5/$B$6)</f>
        <v/>
      </c>
      <c r="T56" s="13">
        <f>T55+$Z$2</f>
        <v/>
      </c>
      <c r="U56" s="14">
        <f>($U$3/$U$4)*(1-EXP(-T56*$U$4/$U$6))</f>
        <v/>
      </c>
      <c r="V56" s="14">
        <f>$U$3*EXP(-T56*$U$4/$U$6)</f>
        <v/>
      </c>
      <c r="W56" s="15">
        <f>($U$3/$U$5)*EXP(-T56*$U$5/$U$6)</f>
        <v/>
      </c>
      <c r="X56" s="15">
        <f>-$U$3*EXP(-T56*$U$5/$U$6)</f>
        <v/>
      </c>
      <c r="AO56" s="13">
        <f>AO55+$AU$2</f>
        <v/>
      </c>
      <c r="AP56" s="14">
        <f>($AP$3/$AP$4)*(1-EXP(-AO56*$AP$4/$AP$6))</f>
        <v/>
      </c>
      <c r="AQ56" s="14">
        <f>$AP$3*EXP(-AO56*$AP$4/$AP$6)</f>
        <v/>
      </c>
      <c r="AR56" s="15">
        <f>($AP$3/$AP$5)*EXP(-AO56*$AP$5/$AP$6)</f>
        <v/>
      </c>
      <c r="AS56" s="15">
        <f>-$AP$3*EXP(-AO56*$AP$5/$AP$6)</f>
        <v/>
      </c>
    </row>
    <row r="57">
      <c r="A57" s="13">
        <f>A56+$G$2</f>
        <v/>
      </c>
      <c r="B57" s="14">
        <f>($B$3/$B$4)*(1-EXP(-A57*$B$4/$B$6))</f>
        <v/>
      </c>
      <c r="C57" s="14">
        <f>$B$3*EXP(-A57*$B$4/$B$6)</f>
        <v/>
      </c>
      <c r="D57" s="15">
        <f>($B$3/$B$5)*EXP(-A57*$B$5/$B$6)</f>
        <v/>
      </c>
      <c r="E57" s="15">
        <f>-$B$3*EXP(-A57*$B$5/$B$6)</f>
        <v/>
      </c>
      <c r="T57" s="13">
        <f>T56+$Z$2</f>
        <v/>
      </c>
      <c r="U57" s="14">
        <f>($U$3/$U$4)*(1-EXP(-T57*$U$4/$U$6))</f>
        <v/>
      </c>
      <c r="V57" s="14">
        <f>$U$3*EXP(-T57*$U$4/$U$6)</f>
        <v/>
      </c>
      <c r="W57" s="15">
        <f>($U$3/$U$5)*EXP(-T57*$U$5/$U$6)</f>
        <v/>
      </c>
      <c r="X57" s="15">
        <f>-$U$3*EXP(-T57*$U$5/$U$6)</f>
        <v/>
      </c>
      <c r="AO57" s="13">
        <f>AO56+$AU$2</f>
        <v/>
      </c>
      <c r="AP57" s="14">
        <f>($AP$3/$AP$4)*(1-EXP(-AO57*$AP$4/$AP$6))</f>
        <v/>
      </c>
      <c r="AQ57" s="14">
        <f>$AP$3*EXP(-AO57*$AP$4/$AP$6)</f>
        <v/>
      </c>
      <c r="AR57" s="15">
        <f>($AP$3/$AP$5)*EXP(-AO57*$AP$5/$AP$6)</f>
        <v/>
      </c>
      <c r="AS57" s="15">
        <f>-$AP$3*EXP(-AO57*$AP$5/$AP$6)</f>
        <v/>
      </c>
    </row>
    <row r="58">
      <c r="A58" s="13">
        <f>A57+$G$2</f>
        <v/>
      </c>
      <c r="B58" s="14">
        <f>($B$3/$B$4)*(1-EXP(-A58*$B$4/$B$6))</f>
        <v/>
      </c>
      <c r="C58" s="14">
        <f>$B$3*EXP(-A58*$B$4/$B$6)</f>
        <v/>
      </c>
      <c r="D58" s="15">
        <f>($B$3/$B$5)*EXP(-A58*$B$5/$B$6)</f>
        <v/>
      </c>
      <c r="E58" s="15">
        <f>-$B$3*EXP(-A58*$B$5/$B$6)</f>
        <v/>
      </c>
      <c r="T58" s="13">
        <f>T57+$Z$2</f>
        <v/>
      </c>
      <c r="U58" s="14">
        <f>($U$3/$U$4)*(1-EXP(-T58*$U$4/$U$6))</f>
        <v/>
      </c>
      <c r="V58" s="14">
        <f>$U$3*EXP(-T58*$U$4/$U$6)</f>
        <v/>
      </c>
      <c r="W58" s="15">
        <f>($U$3/$U$5)*EXP(-T58*$U$5/$U$6)</f>
        <v/>
      </c>
      <c r="X58" s="15">
        <f>-$U$3*EXP(-T58*$U$5/$U$6)</f>
        <v/>
      </c>
      <c r="AO58" s="13">
        <f>AO57+$AU$2</f>
        <v/>
      </c>
      <c r="AP58" s="14">
        <f>($AP$3/$AP$4)*(1-EXP(-AO58*$AP$4/$AP$6))</f>
        <v/>
      </c>
      <c r="AQ58" s="14">
        <f>$AP$3*EXP(-AO58*$AP$4/$AP$6)</f>
        <v/>
      </c>
      <c r="AR58" s="15">
        <f>($AP$3/$AP$5)*EXP(-AO58*$AP$5/$AP$6)</f>
        <v/>
      </c>
      <c r="AS58" s="15">
        <f>-$AP$3*EXP(-AO58*$AP$5/$AP$6)</f>
        <v/>
      </c>
    </row>
    <row r="59">
      <c r="A59" s="13">
        <f>A58+$G$2</f>
        <v/>
      </c>
      <c r="B59" s="14">
        <f>($B$3/$B$4)*(1-EXP(-A59*$B$4/$B$6))</f>
        <v/>
      </c>
      <c r="C59" s="14">
        <f>$B$3*EXP(-A59*$B$4/$B$6)</f>
        <v/>
      </c>
      <c r="D59" s="15">
        <f>($B$3/$B$5)*EXP(-A59*$B$5/$B$6)</f>
        <v/>
      </c>
      <c r="E59" s="15">
        <f>-$B$3*EXP(-A59*$B$5/$B$6)</f>
        <v/>
      </c>
      <c r="T59" s="13">
        <f>T58+$Z$2</f>
        <v/>
      </c>
      <c r="U59" s="14">
        <f>($U$3/$U$4)*(1-EXP(-T59*$U$4/$U$6))</f>
        <v/>
      </c>
      <c r="V59" s="14">
        <f>$U$3*EXP(-T59*$U$4/$U$6)</f>
        <v/>
      </c>
      <c r="W59" s="15">
        <f>($U$3/$U$5)*EXP(-T59*$U$5/$U$6)</f>
        <v/>
      </c>
      <c r="X59" s="15">
        <f>-$U$3*EXP(-T59*$U$5/$U$6)</f>
        <v/>
      </c>
      <c r="AO59" s="13">
        <f>AO58+$AU$2</f>
        <v/>
      </c>
      <c r="AP59" s="14">
        <f>($AP$3/$AP$4)*(1-EXP(-AO59*$AP$4/$AP$6))</f>
        <v/>
      </c>
      <c r="AQ59" s="14">
        <f>$AP$3*EXP(-AO59*$AP$4/$AP$6)</f>
        <v/>
      </c>
      <c r="AR59" s="15">
        <f>($AP$3/$AP$5)*EXP(-AO59*$AP$5/$AP$6)</f>
        <v/>
      </c>
      <c r="AS59" s="15">
        <f>-$AP$3*EXP(-AO59*$AP$5/$AP$6)</f>
        <v/>
      </c>
    </row>
    <row r="60">
      <c r="A60" s="13">
        <f>A59+$G$2</f>
        <v/>
      </c>
      <c r="B60" s="14">
        <f>($B$3/$B$4)*(1-EXP(-A60*$B$4/$B$6))</f>
        <v/>
      </c>
      <c r="C60" s="14">
        <f>$B$3*EXP(-A60*$B$4/$B$6)</f>
        <v/>
      </c>
      <c r="D60" s="15">
        <f>($B$3/$B$5)*EXP(-A60*$B$5/$B$6)</f>
        <v/>
      </c>
      <c r="E60" s="15">
        <f>-$B$3*EXP(-A60*$B$5/$B$6)</f>
        <v/>
      </c>
      <c r="T60" s="13">
        <f>T59+$Z$2</f>
        <v/>
      </c>
      <c r="U60" s="14">
        <f>($U$3/$U$4)*(1-EXP(-T60*$U$4/$U$6))</f>
        <v/>
      </c>
      <c r="V60" s="14">
        <f>$U$3*EXP(-T60*$U$4/$U$6)</f>
        <v/>
      </c>
      <c r="W60" s="15">
        <f>($U$3/$U$5)*EXP(-T60*$U$5/$U$6)</f>
        <v/>
      </c>
      <c r="X60" s="15">
        <f>-$U$3*EXP(-T60*$U$5/$U$6)</f>
        <v/>
      </c>
      <c r="AO60" s="13">
        <f>AO59+$AU$2</f>
        <v/>
      </c>
      <c r="AP60" s="14">
        <f>($AP$3/$AP$4)*(1-EXP(-AO60*$AP$4/$AP$6))</f>
        <v/>
      </c>
      <c r="AQ60" s="14">
        <f>$AP$3*EXP(-AO60*$AP$4/$AP$6)</f>
        <v/>
      </c>
      <c r="AR60" s="15">
        <f>($AP$3/$AP$5)*EXP(-AO60*$AP$5/$AP$6)</f>
        <v/>
      </c>
      <c r="AS60" s="15">
        <f>-$AP$3*EXP(-AO60*$AP$5/$AP$6)</f>
        <v/>
      </c>
    </row>
    <row r="100">
      <c r="A100" s="16" t="inlineStr">
        <is>
          <t>Формулы (совпадают с графиками)</t>
        </is>
      </c>
    </row>
    <row r="101">
      <c r="A101" t="inlineStr">
        <is>
          <t>Iз(t) = (E/r)*(1-EXP(-t*r/L))</t>
        </is>
      </c>
    </row>
    <row r="102">
      <c r="A102" t="inlineStr">
        <is>
          <t>Uз(t) = E*EXP(-t*r/L)     — напряжение на катушке при заряде</t>
        </is>
      </c>
    </row>
    <row r="103">
      <c r="A103" t="inlineStr">
        <is>
          <t>Iр(t) = (E/R)*EXP(-t*R/L)</t>
        </is>
      </c>
    </row>
    <row r="104">
      <c r="A104" t="inlineStr">
        <is>
          <t>Uр(t) = -E*EXP(-t*R/L)    — напряжение на катушке при разряде</t>
        </is>
      </c>
    </row>
    <row r="105">
      <c r="A105" t="inlineStr">
        <is>
          <t>L задаётся как POWER(10,-4)*9  (= 9·10⁻⁴ Гн). В исходной работе было *15; по заданию 15 заменено на 9 в L и r.</t>
        </is>
      </c>
    </row>
    <row r="106">
      <c r="A106" t="inlineStr">
        <is>
          <t>Автор расчёта: Молчанов Даниил Александрович</t>
        </is>
      </c>
    </row>
  </sheetData>
  <mergeCells count="9">
    <mergeCell ref="AT4:AU5"/>
    <mergeCell ref="F4:G5"/>
    <mergeCell ref="T1:V1"/>
    <mergeCell ref="Y4:Z5"/>
    <mergeCell ref="A1:C1"/>
    <mergeCell ref="AO1:AQ1"/>
    <mergeCell ref="Y1:Z1"/>
    <mergeCell ref="AT1:AU1"/>
    <mergeCell ref="F1:G1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2026-09-10T08:04:42Z</dcterms:created>
  <dcterms:modified xmlns:dcterms="http://purl.org/dc/terms/" xmlns:xsi="http://www.w3.org/2001/XMLSchema-instance" xsi:type="dcterms:W3CDTF">2026-09-10T08:04:42Z</dcterms:modified>
</cp:coreProperties>
</file>