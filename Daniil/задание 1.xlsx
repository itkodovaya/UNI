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Графики" sheetId="1" state="visible" r:id="rId1"/>
    <sheet xmlns:r="http://schemas.openxmlformats.org/officeDocument/2006/relationships" name="Sheet1" sheetId="2" state="visible" r:id="rId2"/>
  </sheets>
  <definedNames>
    <definedName name="_xlnm.Print_Titles" localSheetId="1">'Sheet1'!$1:$9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E+00"/>
    <numFmt numFmtId="165" formatCode="0.00000"/>
    <numFmt numFmtId="166" formatCode="0.000000"/>
    <numFmt numFmtId="167" formatCode="0.000E+0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color rgb="002D2D2D"/>
      <sz val="11"/>
    </font>
    <font>
      <name val="Calibri"/>
      <b val="1"/>
      <color rgb="00FFFFFF"/>
      <sz val="10"/>
    </font>
    <font>
      <b val="1"/>
    </font>
    <font>
      <name val="Calibri"/>
      <color rgb="002D2D2D"/>
      <sz val="10"/>
    </font>
    <font>
      <b val="1"/>
      <color rgb="00548235"/>
    </font>
    <font>
      <name val="Calibri"/>
      <b val="1"/>
      <color rgb="00FFFFFF"/>
      <sz val="12"/>
    </font>
    <font>
      <name val="Calibri"/>
      <b val="1"/>
      <color rgb="00FFFFFF"/>
      <sz val="11"/>
    </font>
  </fonts>
  <fills count="14">
    <fill>
      <patternFill/>
    </fill>
    <fill>
      <patternFill patternType="gray125"/>
    </fill>
    <fill>
      <patternFill patternType="solid">
        <fgColor rgb="003B3B3B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C45911"/>
      </patternFill>
    </fill>
    <fill>
      <patternFill patternType="solid">
        <fgColor rgb="002E75B6"/>
      </patternFill>
    </fill>
    <fill>
      <patternFill patternType="solid">
        <fgColor rgb="00548235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2F2F2"/>
      </patternFill>
    </fill>
    <fill>
      <patternFill patternType="solid">
        <fgColor rgb="00F8D9B8"/>
      </patternFill>
    </fill>
    <fill>
      <patternFill patternType="solid">
        <fgColor rgb="00C5D9F1"/>
      </patternFill>
    </fill>
    <fill>
      <patternFill patternType="solid">
        <fgColor rgb="00D9D9D9"/>
      </patternFill>
    </fill>
  </fills>
  <borders count="6">
    <border>
      <left/>
      <right/>
      <top/>
      <bottom/>
      <diagonal/>
    </border>
    <border>
      <left style="thin">
        <color rgb="007F7F7F"/>
      </left>
      <right style="thin">
        <color rgb="007F7F7F"/>
      </right>
      <top style="thin">
        <color rgb="007F7F7F"/>
      </top>
      <bottom style="thin">
        <color rgb="007F7F7F"/>
      </bottom>
    </border>
    <border>
      <left/>
      <right/>
      <top style="thin">
        <color rgb="007F7F7F"/>
      </top>
      <bottom/>
      <diagonal/>
    </border>
    <border>
      <left/>
      <right style="thin">
        <color rgb="007F7F7F"/>
      </right>
      <top style="thin">
        <color rgb="007F7F7F"/>
      </top>
      <bottom/>
      <diagonal/>
    </border>
    <border>
      <left/>
      <right/>
      <top style="thin">
        <color rgb="007F7F7F"/>
      </top>
      <bottom style="thin">
        <color rgb="007F7F7F"/>
      </bottom>
      <diagonal/>
    </border>
    <border>
      <left/>
      <right style="thin">
        <color rgb="007F7F7F"/>
      </right>
      <top style="thin">
        <color rgb="007F7F7F"/>
      </top>
      <bottom style="thin">
        <color rgb="007F7F7F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wrapText="1"/>
    </xf>
    <xf numFmtId="0" fontId="0" fillId="2" borderId="0" pivotButton="0" quotePrefix="0" xfId="0"/>
    <xf numFmtId="0" fontId="0" fillId="13" borderId="0" pivotButton="0" quotePrefix="0" xfId="0"/>
    <xf numFmtId="0" fontId="3" fillId="5" borderId="1" applyAlignment="1" pivotButton="0" quotePrefix="0" xfId="0">
      <alignment horizontal="center" wrapText="1"/>
    </xf>
    <xf numFmtId="0" fontId="3" fillId="7" borderId="1" applyAlignment="1" pivotButton="0" quotePrefix="0" xfId="0">
      <alignment horizontal="center" wrapText="1"/>
    </xf>
    <xf numFmtId="11" fontId="0" fillId="13" borderId="0" pivotButton="0" quotePrefix="0" xfId="0"/>
    <xf numFmtId="11" fontId="0" fillId="4" borderId="0" pivotButton="0" quotePrefix="0" xfId="0"/>
    <xf numFmtId="0" fontId="4" fillId="3" borderId="1" applyAlignment="1" pivotButton="0" quotePrefix="0" xfId="0">
      <alignment horizontal="center"/>
    </xf>
    <xf numFmtId="2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4" borderId="0" applyAlignment="1" pivotButton="0" quotePrefix="0" xfId="0">
      <alignment vertical="center" wrapText="1"/>
    </xf>
    <xf numFmtId="164" fontId="0" fillId="3" borderId="1" applyAlignment="1" pivotButton="0" quotePrefix="0" xfId="0">
      <alignment horizontal="center"/>
    </xf>
    <xf numFmtId="0" fontId="8" fillId="5" borderId="1" pivotButton="0" quotePrefix="0" xfId="0"/>
    <xf numFmtId="0" fontId="0" fillId="5" borderId="4" pivotButton="0" quotePrefix="0" xfId="0"/>
    <xf numFmtId="0" fontId="0" fillId="5" borderId="5" pivotButton="0" quotePrefix="0" xfId="0"/>
    <xf numFmtId="0" fontId="0" fillId="4" borderId="1" pivotButton="0" quotePrefix="0" xfId="0"/>
    <xf numFmtId="11" fontId="0" fillId="4" borderId="1" pivotButton="0" quotePrefix="0" xfId="0"/>
    <xf numFmtId="0" fontId="3" fillId="6" borderId="1" applyAlignment="1" pivotButton="0" quotePrefix="0" xfId="0">
      <alignment horizontal="center" wrapText="1"/>
    </xf>
    <xf numFmtId="165" fontId="5" fillId="3" borderId="1" applyAlignment="1" pivotButton="0" quotePrefix="0" xfId="0">
      <alignment horizontal="center"/>
    </xf>
    <xf numFmtId="166" fontId="5" fillId="8" borderId="1" applyAlignment="1" pivotButton="0" quotePrefix="0" xfId="0">
      <alignment horizontal="center"/>
    </xf>
    <xf numFmtId="166" fontId="5" fillId="9" borderId="1" applyAlignment="1" pivotButton="0" quotePrefix="0" xfId="0">
      <alignment horizontal="center"/>
    </xf>
    <xf numFmtId="165" fontId="5" fillId="10" borderId="1" applyAlignment="1" pivotButton="0" quotePrefix="0" xfId="0">
      <alignment horizontal="center"/>
    </xf>
    <xf numFmtId="166" fontId="5" fillId="11" borderId="1" applyAlignment="1" pivotButton="0" quotePrefix="0" xfId="0">
      <alignment horizontal="center"/>
    </xf>
    <xf numFmtId="166" fontId="5" fillId="12" borderId="1" applyAlignment="1" pivotButton="0" quotePrefix="0" xfId="0">
      <alignment horizontal="center"/>
    </xf>
    <xf numFmtId="0" fontId="6" fillId="13" borderId="0" pivotButton="0" quotePrefix="0" xfId="0"/>
    <xf numFmtId="167" fontId="5" fillId="3" borderId="1" applyAlignment="1" pivotButton="0" quotePrefix="0" xfId="0">
      <alignment horizontal="center"/>
    </xf>
    <xf numFmtId="167" fontId="5" fillId="10" borderId="1" applyAlignment="1" pivotButton="0" quotePrefix="0" xfId="0">
      <alignment horizontal="center"/>
    </xf>
    <xf numFmtId="0" fontId="7" fillId="2" borderId="0" pivotButton="0" quotePrefix="0" xfId="0"/>
    <xf numFmtId="0" fontId="5" fillId="3" borderId="1" applyAlignment="1" pivotButton="0" quotePrefix="0" xfId="0">
      <alignment/>
    </xf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worksheet" Target="worksheets/sheet1.xml" Id="rId1"/><Relationship Type="http://schemas.openxmlformats.org/officeDocument/2006/relationships/worksheet" Target="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Заряд, базовый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Iз, А</c:v>
          </c:tx>
          <c:spPr>
            <a:ln w="25000">
              <a:solidFill>
                <a:srgbClr val="ED7D31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'Sheet1'!$B$10:$B$60</c:f>
              <c:numCache>
                <c:formatCode>General</c:formatCode>
                <c:ptCount val="51"/>
                <c:pt idx="0">
                  <c:v>0</c:v>
                </c:pt>
                <c:pt idx="1">
                  <c:v>0.349750524699881</c:v>
                </c:pt>
                <c:pt idx="2">
                  <c:v>0.56188494118094</c:v>
                </c:pt>
                <c:pt idx="3">
                  <c:v>0.690550968756951</c:v>
                </c:pt>
                <c:pt idx="4">
                  <c:v>0.768590859345233</c:v>
                </c:pt>
                <c:pt idx="5">
                  <c:v>0.815924445667646</c:v>
                </c:pt>
                <c:pt idx="6">
                  <c:v>0.844633717006343</c:v>
                </c:pt>
                <c:pt idx="7">
                  <c:v>0.862046770291272</c:v>
                </c:pt>
                <c:pt idx="8">
                  <c:v>0.872608320987792</c:v>
                </c:pt>
                <c:pt idx="9">
                  <c:v>0.87901422529934</c:v>
                </c:pt>
                <c:pt idx="10">
                  <c:v>0.88289960266748</c:v>
                </c:pt>
                <c:pt idx="11">
                  <c:v>0.88525620316581</c:v>
                </c:pt>
                <c:pt idx="12">
                  <c:v>0.886685553620741</c:v>
                </c:pt>
                <c:pt idx="13">
                  <c:v>0.887552498495131</c:v>
                </c:pt>
                <c:pt idx="14">
                  <c:v>0.888078327141729</c:v>
                </c:pt>
                <c:pt idx="15">
                  <c:v>0.888397258337646</c:v>
                </c:pt>
                <c:pt idx="16">
                  <c:v>0.888590699886309</c:v>
                </c:pt>
                <c:pt idx="17">
                  <c:v>0.888708028116435</c:v>
                </c:pt>
                <c:pt idx="18">
                  <c:v>0.888779191285256</c:v>
                </c:pt>
                <c:pt idx="19">
                  <c:v>0.888822353928989</c:v>
                </c:pt>
                <c:pt idx="20">
                  <c:v>0.888848533395767</c:v>
                </c:pt>
                <c:pt idx="21">
                  <c:v>0.888864412045022</c:v>
                </c:pt>
                <c:pt idx="22">
                  <c:v>0.888874042932631</c:v>
                </c:pt>
                <c:pt idx="23">
                  <c:v>0.888879884361246</c:v>
                </c:pt>
                <c:pt idx="24">
                  <c:v>0.888883427366797</c:v>
                </c:pt>
                <c:pt idx="25">
                  <c:v>0.888885576308291</c:v>
                </c:pt>
                <c:pt idx="26">
                  <c:v>0.888886879707194</c:v>
                </c:pt>
                <c:pt idx="27">
                  <c:v>0.88888767025859</c:v>
                </c:pt>
                <c:pt idx="28">
                  <c:v>0.88888814975225</c:v>
                </c:pt>
                <c:pt idx="29">
                  <c:v>0.888888440579855</c:v>
                </c:pt>
                <c:pt idx="30">
                  <c:v>0.888888616975715</c:v>
                </c:pt>
                <c:pt idx="31">
                  <c:v>0.888888723965212</c:v>
                </c:pt>
                <c:pt idx="32">
                  <c:v>0.888888788857622</c:v>
                </c:pt>
                <c:pt idx="33">
                  <c:v>0.888888828216859</c:v>
                </c:pt>
                <c:pt idx="34">
                  <c:v>0.888888852089442</c:v>
                </c:pt>
                <c:pt idx="35">
                  <c:v>0.888888866568896</c:v>
                </c:pt>
                <c:pt idx="36">
                  <c:v>0.888888875351129</c:v>
                </c:pt>
                <c:pt idx="37">
                  <c:v>0.888888880677822</c:v>
                </c:pt>
                <c:pt idx="38">
                  <c:v>0.888888883908625</c:v>
                </c:pt>
                <c:pt idx="39">
                  <c:v>0.888888885868206</c:v>
                </c:pt>
                <c:pt idx="40">
                  <c:v>0.888888887056752</c:v>
                </c:pt>
                <c:pt idx="41">
                  <c:v>0.888888887777642</c:v>
                </c:pt>
                <c:pt idx="42">
                  <c:v>0.888888888214884</c:v>
                </c:pt>
                <c:pt idx="43">
                  <c:v>0.888888888480084</c:v>
                </c:pt>
                <c:pt idx="44">
                  <c:v>0.888888888640936</c:v>
                </c:pt>
                <c:pt idx="45">
                  <c:v>0.888888888738498</c:v>
                </c:pt>
                <c:pt idx="46">
                  <c:v>0.888888888797672</c:v>
                </c:pt>
                <c:pt idx="47">
                  <c:v>0.888888888833563</c:v>
                </c:pt>
                <c:pt idx="48">
                  <c:v>0.888888888855332</c:v>
                </c:pt>
                <c:pt idx="49">
                  <c:v>0.888888888868536</c:v>
                </c:pt>
                <c:pt idx="50">
                  <c:v>0.888888888876544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Uз,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'Sheet1'!$C$10:$C$60</c:f>
              <c:numCache>
                <c:formatCode>General</c:formatCode>
                <c:ptCount val="51"/>
                <c:pt idx="0">
                  <c:v>8</c:v>
                </c:pt>
                <c:pt idx="1">
                  <c:v>4.85224527770107</c:v>
                </c:pt>
                <c:pt idx="2">
                  <c:v>2.94303552937154</c:v>
                </c:pt>
                <c:pt idx="3">
                  <c:v>1.78504128118744</c:v>
                </c:pt>
                <c:pt idx="4">
                  <c:v>1.0826822658929</c:v>
                </c:pt>
                <c:pt idx="5">
                  <c:v>0.65667998899119</c:v>
                </c:pt>
                <c:pt idx="6">
                  <c:v>0.398296546942911</c:v>
                </c:pt>
                <c:pt idx="7">
                  <c:v>0.241579067378548</c:v>
                </c:pt>
                <c:pt idx="8">
                  <c:v>0.146525111109873</c:v>
                </c:pt>
                <c:pt idx="9">
                  <c:v>0.0888719723059384</c:v>
                </c:pt>
                <c:pt idx="10">
                  <c:v>0.0539035759926837</c:v>
                </c:pt>
                <c:pt idx="11">
                  <c:v>0.0326941715077125</c:v>
                </c:pt>
                <c:pt idx="12">
                  <c:v>0.0198300174133309</c:v>
                </c:pt>
                <c:pt idx="13">
                  <c:v>0.0120275135438206</c:v>
                </c:pt>
                <c:pt idx="14">
                  <c:v>0.00729505572443613</c:v>
                </c:pt>
                <c:pt idx="15">
                  <c:v>0.00442467496118267</c:v>
                </c:pt>
                <c:pt idx="16">
                  <c:v>0.00268370102322009</c:v>
                </c:pt>
                <c:pt idx="17">
                  <c:v>0.00162774695208515</c:v>
                </c:pt>
                <c:pt idx="18">
                  <c:v>0.000987278432693435</c:v>
                </c:pt>
                <c:pt idx="19">
                  <c:v>0.000598814639101605</c:v>
                </c:pt>
                <c:pt idx="20">
                  <c:v>0.000363199438099878</c:v>
                </c:pt>
                <c:pt idx="21">
                  <c:v>0.000220291594797977</c:v>
                </c:pt>
                <c:pt idx="22">
                  <c:v>0.000133613606321965</c:v>
                </c:pt>
                <c:pt idx="23">
                  <c:v>8.10407487890457e-05</c:v>
                </c:pt>
                <c:pt idx="24">
                  <c:v>4.91536988266256e-05</c:v>
                </c:pt>
                <c:pt idx="25">
                  <c:v>2.98132253766294e-05</c:v>
                </c:pt>
                <c:pt idx="26">
                  <c:v>1.80826352558484e-05</c:v>
                </c:pt>
                <c:pt idx="27">
                  <c:v>1.09676726910727e-05</c:v>
                </c:pt>
                <c:pt idx="28">
                  <c:v>6.65222975282854e-06</c:v>
                </c:pt>
                <c:pt idx="29">
                  <c:v>4.0347813005431e-06</c:v>
                </c:pt>
                <c:pt idx="30">
                  <c:v>2.44721856401461e-06</c:v>
                </c:pt>
                <c:pt idx="31">
                  <c:v>1.48431309009278e-06</c:v>
                </c:pt>
                <c:pt idx="32">
                  <c:v>9.0028139775407e-07</c:v>
                </c:pt>
                <c:pt idx="33">
                  <c:v>5.4604827010679e-07</c:v>
                </c:pt>
                <c:pt idx="34">
                  <c:v>3.31195017502813e-07</c:v>
                </c:pt>
                <c:pt idx="35">
                  <c:v>2.00879932459519e-07</c:v>
                </c:pt>
                <c:pt idx="36">
                  <c:v>1.21839837957701e-07</c:v>
                </c:pt>
                <c:pt idx="37">
                  <c:v>7.38995972957645e-08</c:v>
                </c:pt>
                <c:pt idx="38">
                  <c:v>4.48223715002981e-08</c:v>
                </c:pt>
                <c:pt idx="39">
                  <c:v>2.71861425559606e-08</c:v>
                </c:pt>
                <c:pt idx="40">
                  <c:v>1.64892289795084e-08</c:v>
                </c:pt>
                <c:pt idx="41">
                  <c:v>1.00012229310939e-08</c:v>
                </c:pt>
                <c:pt idx="42">
                  <c:v>6.0660483423295e-09</c:v>
                </c:pt>
                <c:pt idx="43">
                  <c:v>3.67924430292185e-09</c:v>
                </c:pt>
                <c:pt idx="44">
                  <c:v>2.23157447429513e-09</c:v>
                </c:pt>
                <c:pt idx="45">
                  <c:v>1.3535183380921e-09</c:v>
                </c:pt>
                <c:pt idx="46">
                  <c:v>8.20950370536151e-10</c:v>
                </c:pt>
                <c:pt idx="47">
                  <c:v>4.97931569832621e-10</c:v>
                </c:pt>
                <c:pt idx="48">
                  <c:v>3.02010763542327e-10</c:v>
                </c:pt>
                <c:pt idx="49">
                  <c:v>1.83178787651644e-10</c:v>
                </c:pt>
                <c:pt idx="50">
                  <c:v>1.11103550919712e-10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Iз,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Uз,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Разряд, базовый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Iр, А</c:v>
          </c:tx>
          <c:spPr>
            <a:ln w="25000">
              <a:solidFill>
                <a:srgbClr val="548235"/>
              </a:solidFill>
              <a:prstDash val="solid"/>
            </a:ln>
          </c:spPr>
          <c:marker>
            <c:symbol val="none"/>
          </c:marker>
          <c:xVal>
            <c:numRef>
              <c:f>'Sheet1'!$I$70:$I$120</c:f>
              <c:numCache>
                <c:formatCode>General</c:formatCode>
                <c:ptCount val="51"/>
                <c:pt idx="0">
                  <c:v>0</c:v>
                </c:pt>
                <c:pt idx="1">
                  <c:v>1.5e-06</c:v>
                </c:pt>
                <c:pt idx="2">
                  <c:v>3e-06</c:v>
                </c:pt>
                <c:pt idx="3">
                  <c:v>4.5e-06</c:v>
                </c:pt>
                <c:pt idx="4">
                  <c:v>6e-06</c:v>
                </c:pt>
                <c:pt idx="5">
                  <c:v>7.5e-06</c:v>
                </c:pt>
                <c:pt idx="6">
                  <c:v>9e-06</c:v>
                </c:pt>
                <c:pt idx="7">
                  <c:v>1.05e-05</c:v>
                </c:pt>
                <c:pt idx="8">
                  <c:v>1.2e-05</c:v>
                </c:pt>
                <c:pt idx="9">
                  <c:v>1.35e-05</c:v>
                </c:pt>
                <c:pt idx="10">
                  <c:v>1.5e-05</c:v>
                </c:pt>
                <c:pt idx="11">
                  <c:v>1.65e-05</c:v>
                </c:pt>
                <c:pt idx="12">
                  <c:v>1.8e-05</c:v>
                </c:pt>
                <c:pt idx="13">
                  <c:v>1.95e-05</c:v>
                </c:pt>
                <c:pt idx="14">
                  <c:v>2.1e-05</c:v>
                </c:pt>
                <c:pt idx="15">
                  <c:v>2.25e-05</c:v>
                </c:pt>
                <c:pt idx="16">
                  <c:v>2.4e-05</c:v>
                </c:pt>
                <c:pt idx="17">
                  <c:v>2.55e-05</c:v>
                </c:pt>
                <c:pt idx="18">
                  <c:v>2.7e-05</c:v>
                </c:pt>
                <c:pt idx="19">
                  <c:v>2.85e-05</c:v>
                </c:pt>
                <c:pt idx="20">
                  <c:v>3e-05</c:v>
                </c:pt>
                <c:pt idx="21">
                  <c:v>3.15e-05</c:v>
                </c:pt>
                <c:pt idx="22">
                  <c:v>3.3e-05</c:v>
                </c:pt>
                <c:pt idx="23">
                  <c:v>3.45e-05</c:v>
                </c:pt>
                <c:pt idx="24">
                  <c:v>3.6e-05</c:v>
                </c:pt>
                <c:pt idx="25">
                  <c:v>3.75e-05</c:v>
                </c:pt>
                <c:pt idx="26">
                  <c:v>3.9e-05</c:v>
                </c:pt>
                <c:pt idx="27">
                  <c:v>4.05e-05</c:v>
                </c:pt>
                <c:pt idx="28">
                  <c:v>4.2e-05</c:v>
                </c:pt>
                <c:pt idx="29">
                  <c:v>4.35e-05</c:v>
                </c:pt>
                <c:pt idx="30">
                  <c:v>4.5e-05</c:v>
                </c:pt>
                <c:pt idx="31">
                  <c:v>4.65e-05</c:v>
                </c:pt>
                <c:pt idx="32">
                  <c:v>4.8e-05</c:v>
                </c:pt>
                <c:pt idx="33">
                  <c:v>4.95e-05</c:v>
                </c:pt>
                <c:pt idx="34">
                  <c:v>5.1e-05</c:v>
                </c:pt>
                <c:pt idx="35">
                  <c:v>5.25e-05</c:v>
                </c:pt>
                <c:pt idx="36">
                  <c:v>5.4e-05</c:v>
                </c:pt>
                <c:pt idx="37">
                  <c:v>5.55e-05</c:v>
                </c:pt>
                <c:pt idx="38">
                  <c:v>5.7e-05</c:v>
                </c:pt>
                <c:pt idx="39">
                  <c:v>5.85e-05</c:v>
                </c:pt>
                <c:pt idx="40">
                  <c:v>6e-05</c:v>
                </c:pt>
                <c:pt idx="41">
                  <c:v>6.15e-05</c:v>
                </c:pt>
                <c:pt idx="42">
                  <c:v>6.3e-05</c:v>
                </c:pt>
                <c:pt idx="43">
                  <c:v>6.45e-05</c:v>
                </c:pt>
                <c:pt idx="44">
                  <c:v>6.6e-05</c:v>
                </c:pt>
                <c:pt idx="45">
                  <c:v>6.75e-05</c:v>
                </c:pt>
                <c:pt idx="46">
                  <c:v>6.9e-05</c:v>
                </c:pt>
                <c:pt idx="47">
                  <c:v>7.05e-05</c:v>
                </c:pt>
                <c:pt idx="48">
                  <c:v>7.2e-05</c:v>
                </c:pt>
                <c:pt idx="49">
                  <c:v>7.35e-05</c:v>
                </c:pt>
                <c:pt idx="50">
                  <c:v>7.5e-05</c:v>
                </c:pt>
              </c:numCache>
            </c:numRef>
          </c:xVal>
          <c:yVal>
            <c:numRef>
              <c:f>'Sheet1'!$J$70:$J$120</c:f>
              <c:numCache>
                <c:formatCode>General</c:formatCode>
                <c:ptCount val="51"/>
                <c:pt idx="0">
                  <c:v>0.0666666666666667</c:v>
                </c:pt>
                <c:pt idx="1">
                  <c:v>0.0545820502051988</c:v>
                </c:pt>
                <c:pt idx="2">
                  <c:v>0.0446880030690426</c:v>
                </c:pt>
                <c:pt idx="3">
                  <c:v>0.0365874424062684</c:v>
                </c:pt>
                <c:pt idx="4">
                  <c:v>0.0299552642744814</c:v>
                </c:pt>
                <c:pt idx="5">
                  <c:v>0.0245252960780962</c:v>
                </c:pt>
                <c:pt idx="6">
                  <c:v>0.0200796141274801</c:v>
                </c:pt>
                <c:pt idx="7">
                  <c:v>0.0164397975961071</c:v>
                </c:pt>
                <c:pt idx="8">
                  <c:v>0.0134597678663104</c:v>
                </c:pt>
                <c:pt idx="9">
                  <c:v>0.0110199258814391</c:v>
                </c:pt>
                <c:pt idx="10">
                  <c:v>0.00902235221577418</c:v>
                </c:pt>
                <c:pt idx="11">
                  <c:v>0.00738687722415559</c:v>
                </c:pt>
                <c:pt idx="12">
                  <c:v>0.0060478635526275</c:v>
                </c:pt>
                <c:pt idx="13">
                  <c:v>0.00495157188095559</c:v>
                </c:pt>
                <c:pt idx="14">
                  <c:v>0.00405400417501453</c:v>
                </c:pt>
                <c:pt idx="15">
                  <c:v>0.00331913789119093</c:v>
                </c:pt>
                <c:pt idx="16">
                  <c:v>0.00271748026522441</c:v>
                </c:pt>
                <c:pt idx="17">
                  <c:v>0.00222488466402174</c:v>
                </c:pt>
                <c:pt idx="18">
                  <c:v>0.00182158149648617</c:v>
                </c:pt>
                <c:pt idx="19">
                  <c:v>0.00149138479041104</c:v>
                </c:pt>
                <c:pt idx="20">
                  <c:v>0.00122104259258228</c:v>
                </c:pt>
                <c:pt idx="21">
                  <c:v>0.00099970512136518</c:v>
                </c:pt>
                <c:pt idx="22">
                  <c:v>0.000818489326871229</c:v>
                </c:pt>
                <c:pt idx="23">
                  <c:v>0.000670122382975572</c:v>
                </c:pt>
                <c:pt idx="24">
                  <c:v>0.000548649803268002</c:v>
                </c:pt>
                <c:pt idx="25">
                  <c:v>0.000449196466605697</c:v>
                </c:pt>
                <c:pt idx="26">
                  <c:v>0.000367770961384051</c:v>
                </c:pt>
                <c:pt idx="27">
                  <c:v>0.000301105396174177</c:v>
                </c:pt>
                <c:pt idx="28">
                  <c:v>0.000246524247765529</c:v>
                </c:pt>
                <c:pt idx="29">
                  <c:v>0.000201836983025054</c:v>
                </c:pt>
                <c:pt idx="30">
                  <c:v>0.00016525014511109</c:v>
                </c:pt>
                <c:pt idx="31">
                  <c:v>0.000135295375753049</c:v>
                </c:pt>
                <c:pt idx="32">
                  <c:v>0.000110770484878262</c:v>
                </c:pt>
                <c:pt idx="33">
                  <c:v>9.06912025031928e-05</c:v>
                </c:pt>
                <c:pt idx="34">
                  <c:v>7.42516765229869e-05</c:v>
                </c:pt>
                <c:pt idx="35">
                  <c:v>6.07921310369678e-05</c:v>
                </c:pt>
                <c:pt idx="36">
                  <c:v>4.97723872251119e-05</c:v>
                </c:pt>
                <c:pt idx="37">
                  <c:v>4.07501840753048e-05</c:v>
                </c:pt>
                <c:pt idx="38">
                  <c:v>3.33634288960407e-05</c:v>
                </c:pt>
                <c:pt idx="39">
                  <c:v>2.73156652653191e-05</c:v>
                </c:pt>
                <c:pt idx="40">
                  <c:v>2.23641751935008e-05</c:v>
                </c:pt>
                <c:pt idx="41">
                  <c:v>1.83102379981428e-05</c:v>
                </c:pt>
                <c:pt idx="42">
                  <c:v>1.49911549452565e-05</c:v>
                </c:pt>
                <c:pt idx="43">
                  <c:v>1.22737195778386e-05</c:v>
                </c:pt>
                <c:pt idx="44">
                  <c:v>1.00488716730318e-05</c:v>
                </c:pt>
                <c:pt idx="45">
                  <c:v>8.2273202724453e-06</c:v>
                </c:pt>
                <c:pt idx="46">
                  <c:v>6.73596012247289e-06</c:v>
                </c:pt>
                <c:pt idx="47">
                  <c:v>5.51493770377548e-06</c:v>
                </c:pt>
                <c:pt idx="48">
                  <c:v>4.51524909939026e-06</c:v>
                </c:pt>
                <c:pt idx="49">
                  <c:v>3.69677329547846e-06</c:v>
                </c:pt>
                <c:pt idx="50">
                  <c:v>3.02666198416565e-06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Uр,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'Sheet1'!$I$70:$I$120</c:f>
              <c:numCache>
                <c:formatCode>General</c:formatCode>
                <c:ptCount val="51"/>
                <c:pt idx="0">
                  <c:v>0</c:v>
                </c:pt>
                <c:pt idx="1">
                  <c:v>1.5e-06</c:v>
                </c:pt>
                <c:pt idx="2">
                  <c:v>3e-06</c:v>
                </c:pt>
                <c:pt idx="3">
                  <c:v>4.5e-06</c:v>
                </c:pt>
                <c:pt idx="4">
                  <c:v>6e-06</c:v>
                </c:pt>
                <c:pt idx="5">
                  <c:v>7.5e-06</c:v>
                </c:pt>
                <c:pt idx="6">
                  <c:v>9e-06</c:v>
                </c:pt>
                <c:pt idx="7">
                  <c:v>1.05e-05</c:v>
                </c:pt>
                <c:pt idx="8">
                  <c:v>1.2e-05</c:v>
                </c:pt>
                <c:pt idx="9">
                  <c:v>1.35e-05</c:v>
                </c:pt>
                <c:pt idx="10">
                  <c:v>1.5e-05</c:v>
                </c:pt>
                <c:pt idx="11">
                  <c:v>1.65e-05</c:v>
                </c:pt>
                <c:pt idx="12">
                  <c:v>1.8e-05</c:v>
                </c:pt>
                <c:pt idx="13">
                  <c:v>1.95e-05</c:v>
                </c:pt>
                <c:pt idx="14">
                  <c:v>2.1e-05</c:v>
                </c:pt>
                <c:pt idx="15">
                  <c:v>2.25e-05</c:v>
                </c:pt>
                <c:pt idx="16">
                  <c:v>2.4e-05</c:v>
                </c:pt>
                <c:pt idx="17">
                  <c:v>2.55e-05</c:v>
                </c:pt>
                <c:pt idx="18">
                  <c:v>2.7e-05</c:v>
                </c:pt>
                <c:pt idx="19">
                  <c:v>2.85e-05</c:v>
                </c:pt>
                <c:pt idx="20">
                  <c:v>3e-05</c:v>
                </c:pt>
                <c:pt idx="21">
                  <c:v>3.15e-05</c:v>
                </c:pt>
                <c:pt idx="22">
                  <c:v>3.3e-05</c:v>
                </c:pt>
                <c:pt idx="23">
                  <c:v>3.45e-05</c:v>
                </c:pt>
                <c:pt idx="24">
                  <c:v>3.6e-05</c:v>
                </c:pt>
                <c:pt idx="25">
                  <c:v>3.75e-05</c:v>
                </c:pt>
                <c:pt idx="26">
                  <c:v>3.9e-05</c:v>
                </c:pt>
                <c:pt idx="27">
                  <c:v>4.05e-05</c:v>
                </c:pt>
                <c:pt idx="28">
                  <c:v>4.2e-05</c:v>
                </c:pt>
                <c:pt idx="29">
                  <c:v>4.35e-05</c:v>
                </c:pt>
                <c:pt idx="30">
                  <c:v>4.5e-05</c:v>
                </c:pt>
                <c:pt idx="31">
                  <c:v>4.65e-05</c:v>
                </c:pt>
                <c:pt idx="32">
                  <c:v>4.8e-05</c:v>
                </c:pt>
                <c:pt idx="33">
                  <c:v>4.95e-05</c:v>
                </c:pt>
                <c:pt idx="34">
                  <c:v>5.1e-05</c:v>
                </c:pt>
                <c:pt idx="35">
                  <c:v>5.25e-05</c:v>
                </c:pt>
                <c:pt idx="36">
                  <c:v>5.4e-05</c:v>
                </c:pt>
                <c:pt idx="37">
                  <c:v>5.55e-05</c:v>
                </c:pt>
                <c:pt idx="38">
                  <c:v>5.7e-05</c:v>
                </c:pt>
                <c:pt idx="39">
                  <c:v>5.85e-05</c:v>
                </c:pt>
                <c:pt idx="40">
                  <c:v>6e-05</c:v>
                </c:pt>
                <c:pt idx="41">
                  <c:v>6.15e-05</c:v>
                </c:pt>
                <c:pt idx="42">
                  <c:v>6.3e-05</c:v>
                </c:pt>
                <c:pt idx="43">
                  <c:v>6.45e-05</c:v>
                </c:pt>
                <c:pt idx="44">
                  <c:v>6.6e-05</c:v>
                </c:pt>
                <c:pt idx="45">
                  <c:v>6.75e-05</c:v>
                </c:pt>
                <c:pt idx="46">
                  <c:v>6.9e-05</c:v>
                </c:pt>
                <c:pt idx="47">
                  <c:v>7.05e-05</c:v>
                </c:pt>
                <c:pt idx="48">
                  <c:v>7.2e-05</c:v>
                </c:pt>
                <c:pt idx="49">
                  <c:v>7.35e-05</c:v>
                </c:pt>
                <c:pt idx="50">
                  <c:v>7.5e-05</c:v>
                </c:pt>
              </c:numCache>
            </c:numRef>
          </c:xVal>
          <c:yVal>
            <c:numRef>
              <c:f>'Sheet1'!$K$70:$K$120</c:f>
              <c:numCache>
                <c:formatCode>General</c:formatCode>
                <c:ptCount val="51"/>
                <c:pt idx="0">
                  <c:v>-8</c:v>
                </c:pt>
                <c:pt idx="1">
                  <c:v>-6.54984602462385</c:v>
                </c:pt>
                <c:pt idx="2">
                  <c:v>-5.36256036828511</c:v>
                </c:pt>
                <c:pt idx="3">
                  <c:v>-4.39049308875221</c:v>
                </c:pt>
                <c:pt idx="4">
                  <c:v>-3.59463171293777</c:v>
                </c:pt>
                <c:pt idx="5">
                  <c:v>-2.94303552937154</c:v>
                </c:pt>
                <c:pt idx="6">
                  <c:v>-2.40955369529762</c:v>
                </c:pt>
                <c:pt idx="7">
                  <c:v>-1.97277571153285</c:v>
                </c:pt>
                <c:pt idx="8">
                  <c:v>-1.61517214395724</c:v>
                </c:pt>
                <c:pt idx="9">
                  <c:v>-1.32239110577269</c:v>
                </c:pt>
                <c:pt idx="10">
                  <c:v>-1.0826822658929</c:v>
                </c:pt>
                <c:pt idx="11">
                  <c:v>-0.886425266898671</c:v>
                </c:pt>
                <c:pt idx="12">
                  <c:v>-0.7257436263153</c:v>
                </c:pt>
                <c:pt idx="13">
                  <c:v>-0.594188625714671</c:v>
                </c:pt>
                <c:pt idx="14">
                  <c:v>-0.486480501001744</c:v>
                </c:pt>
                <c:pt idx="15">
                  <c:v>-0.398296546942911</c:v>
                </c:pt>
                <c:pt idx="16">
                  <c:v>-0.32609763182693</c:v>
                </c:pt>
                <c:pt idx="17">
                  <c:v>-0.266986159682609</c:v>
                </c:pt>
                <c:pt idx="18">
                  <c:v>-0.21858977957834</c:v>
                </c:pt>
                <c:pt idx="19">
                  <c:v>-0.178966174849325</c:v>
                </c:pt>
                <c:pt idx="20">
                  <c:v>-0.146525111109873</c:v>
                </c:pt>
                <c:pt idx="21">
                  <c:v>-0.119964614563822</c:v>
                </c:pt>
                <c:pt idx="22">
                  <c:v>-0.0982187192245475</c:v>
                </c:pt>
                <c:pt idx="23">
                  <c:v>-0.0804146859570687</c:v>
                </c:pt>
                <c:pt idx="24">
                  <c:v>-0.0658379763921602</c:v>
                </c:pt>
                <c:pt idx="25">
                  <c:v>-0.0539035759926837</c:v>
                </c:pt>
                <c:pt idx="26">
                  <c:v>-0.0441325153660862</c:v>
                </c:pt>
                <c:pt idx="27">
                  <c:v>-0.0361326475409013</c:v>
                </c:pt>
                <c:pt idx="28">
                  <c:v>-0.0295829097318634</c:v>
                </c:pt>
                <c:pt idx="29">
                  <c:v>-0.0242204379630065</c:v>
                </c:pt>
                <c:pt idx="30">
                  <c:v>-0.0198300174133309</c:v>
                </c:pt>
                <c:pt idx="31">
                  <c:v>-0.0162354450903659</c:v>
                </c:pt>
                <c:pt idx="32">
                  <c:v>-0.0132924581853915</c:v>
                </c:pt>
                <c:pt idx="33">
                  <c:v>-0.0108829443003831</c:v>
                </c:pt>
                <c:pt idx="34">
                  <c:v>-0.00891020118275843</c:v>
                </c:pt>
                <c:pt idx="35">
                  <c:v>-0.00729505572443613</c:v>
                </c:pt>
                <c:pt idx="36">
                  <c:v>-0.00597268646701343</c:v>
                </c:pt>
                <c:pt idx="37">
                  <c:v>-0.00489002208903658</c:v>
                </c:pt>
                <c:pt idx="38">
                  <c:v>-0.00400361146752488</c:v>
                </c:pt>
                <c:pt idx="39">
                  <c:v>-0.00327787983183829</c:v>
                </c:pt>
                <c:pt idx="40">
                  <c:v>-0.00268370102322009</c:v>
                </c:pt>
                <c:pt idx="41">
                  <c:v>-0.00219722855977714</c:v>
                </c:pt>
                <c:pt idx="42">
                  <c:v>-0.00179893859343079</c:v>
                </c:pt>
                <c:pt idx="43">
                  <c:v>-0.00147284634934063</c:v>
                </c:pt>
                <c:pt idx="44">
                  <c:v>-0.00120586460076381</c:v>
                </c:pt>
                <c:pt idx="45">
                  <c:v>-0.000987278432693436</c:v>
                </c:pt>
                <c:pt idx="46">
                  <c:v>-0.000808315214696747</c:v>
                </c:pt>
                <c:pt idx="47">
                  <c:v>-0.000661792524453058</c:v>
                </c:pt>
                <c:pt idx="48">
                  <c:v>-0.000541829891926831</c:v>
                </c:pt>
                <c:pt idx="49">
                  <c:v>-0.000443612795457416</c:v>
                </c:pt>
                <c:pt idx="50">
                  <c:v>-0.000363199438099878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Iр,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Uр,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Заряд, L/3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Iз, А</c:v>
          </c:tx>
          <c:spPr>
            <a:ln w="25000">
              <a:solidFill>
                <a:srgbClr val="ED7D31"/>
              </a:solidFill>
              <a:prstDash val="solid"/>
            </a:ln>
          </c:spPr>
          <c:marker>
            <c:symbol val="none"/>
          </c:marker>
          <c:xVal>
            <c:numRef>
              <c:f>'Sheet1'!$T$10:$T$60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'Sheet1'!$U$10:$U$60</c:f>
              <c:numCache>
                <c:formatCode>General</c:formatCode>
                <c:ptCount val="51"/>
                <c:pt idx="0">
                  <c:v>0</c:v>
                </c:pt>
                <c:pt idx="1">
                  <c:v>0.690550968756951</c:v>
                </c:pt>
                <c:pt idx="2">
                  <c:v>0.844633717006343</c:v>
                </c:pt>
                <c:pt idx="3">
                  <c:v>0.87901422529934</c:v>
                </c:pt>
                <c:pt idx="4">
                  <c:v>0.886685553620741</c:v>
                </c:pt>
                <c:pt idx="5">
                  <c:v>0.888397258337646</c:v>
                </c:pt>
                <c:pt idx="6">
                  <c:v>0.888779191285256</c:v>
                </c:pt>
                <c:pt idx="7">
                  <c:v>0.888864412045022</c:v>
                </c:pt>
                <c:pt idx="8">
                  <c:v>0.888883427366797</c:v>
                </c:pt>
                <c:pt idx="9">
                  <c:v>0.88888767025859</c:v>
                </c:pt>
                <c:pt idx="10">
                  <c:v>0.888888616975715</c:v>
                </c:pt>
                <c:pt idx="11">
                  <c:v>0.888888828216859</c:v>
                </c:pt>
                <c:pt idx="12">
                  <c:v>0.888888875351129</c:v>
                </c:pt>
                <c:pt idx="13">
                  <c:v>0.888888885868206</c:v>
                </c:pt>
                <c:pt idx="14">
                  <c:v>0.888888888214884</c:v>
                </c:pt>
                <c:pt idx="15">
                  <c:v>0.888888888738498</c:v>
                </c:pt>
                <c:pt idx="16">
                  <c:v>0.888888888855332</c:v>
                </c:pt>
                <c:pt idx="17">
                  <c:v>0.888888888881401</c:v>
                </c:pt>
                <c:pt idx="18">
                  <c:v>0.888888888887218</c:v>
                </c:pt>
                <c:pt idx="19">
                  <c:v>0.888888888888516</c:v>
                </c:pt>
                <c:pt idx="20">
                  <c:v>0.888888888888806</c:v>
                </c:pt>
                <c:pt idx="21">
                  <c:v>0.88888888888887</c:v>
                </c:pt>
                <c:pt idx="22">
                  <c:v>0.888888888888885</c:v>
                </c:pt>
                <c:pt idx="23">
                  <c:v>0.888888888888888</c:v>
                </c:pt>
                <c:pt idx="24">
                  <c:v>0.888888888888889</c:v>
                </c:pt>
                <c:pt idx="25">
                  <c:v>0.888888888888889</c:v>
                </c:pt>
                <c:pt idx="26">
                  <c:v>0.888888888888889</c:v>
                </c:pt>
                <c:pt idx="27">
                  <c:v>0.888888888888889</c:v>
                </c:pt>
                <c:pt idx="28">
                  <c:v>0.888888888888889</c:v>
                </c:pt>
                <c:pt idx="29">
                  <c:v>0.888888888888889</c:v>
                </c:pt>
                <c:pt idx="30">
                  <c:v>0.888888888888889</c:v>
                </c:pt>
                <c:pt idx="31">
                  <c:v>0.888888888888889</c:v>
                </c:pt>
                <c:pt idx="32">
                  <c:v>0.888888888888889</c:v>
                </c:pt>
                <c:pt idx="33">
                  <c:v>0.888888888888889</c:v>
                </c:pt>
                <c:pt idx="34">
                  <c:v>0.888888888888889</c:v>
                </c:pt>
                <c:pt idx="35">
                  <c:v>0.888888888888889</c:v>
                </c:pt>
                <c:pt idx="36">
                  <c:v>0.888888888888889</c:v>
                </c:pt>
                <c:pt idx="37">
                  <c:v>0.888888888888889</c:v>
                </c:pt>
                <c:pt idx="38">
                  <c:v>0.888888888888889</c:v>
                </c:pt>
                <c:pt idx="39">
                  <c:v>0.888888888888889</c:v>
                </c:pt>
                <c:pt idx="40">
                  <c:v>0.888888888888889</c:v>
                </c:pt>
                <c:pt idx="41">
                  <c:v>0.888888888888889</c:v>
                </c:pt>
                <c:pt idx="42">
                  <c:v>0.888888888888889</c:v>
                </c:pt>
                <c:pt idx="43">
                  <c:v>0.888888888888889</c:v>
                </c:pt>
                <c:pt idx="44">
                  <c:v>0.888888888888889</c:v>
                </c:pt>
                <c:pt idx="45">
                  <c:v>0.888888888888889</c:v>
                </c:pt>
                <c:pt idx="46">
                  <c:v>0.888888888888889</c:v>
                </c:pt>
                <c:pt idx="47">
                  <c:v>0.888888888888889</c:v>
                </c:pt>
                <c:pt idx="48">
                  <c:v>0.888888888888889</c:v>
                </c:pt>
                <c:pt idx="49">
                  <c:v>0.888888888888889</c:v>
                </c:pt>
                <c:pt idx="50">
                  <c:v>0.888888888888889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Uз,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'Sheet1'!$T$10:$T$60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'Sheet1'!$V$10:$V$60</c:f>
              <c:numCache>
                <c:formatCode>General</c:formatCode>
                <c:ptCount val="51"/>
                <c:pt idx="0">
                  <c:v>8</c:v>
                </c:pt>
                <c:pt idx="1">
                  <c:v>1.78504128118744</c:v>
                </c:pt>
                <c:pt idx="2">
                  <c:v>0.398296546942911</c:v>
                </c:pt>
                <c:pt idx="3">
                  <c:v>0.0888719723059384</c:v>
                </c:pt>
                <c:pt idx="4">
                  <c:v>0.0198300174133309</c:v>
                </c:pt>
                <c:pt idx="5">
                  <c:v>0.00442467496118266</c:v>
                </c:pt>
                <c:pt idx="6">
                  <c:v>0.000987278432693435</c:v>
                </c:pt>
                <c:pt idx="7">
                  <c:v>0.000220291594797977</c:v>
                </c:pt>
                <c:pt idx="8">
                  <c:v>4.91536988266256e-05</c:v>
                </c:pt>
                <c:pt idx="9">
                  <c:v>1.09676726910726e-05</c:v>
                </c:pt>
                <c:pt idx="10">
                  <c:v>2.4472185640146e-06</c:v>
                </c:pt>
                <c:pt idx="11">
                  <c:v>5.46048270106788e-07</c:v>
                </c:pt>
                <c:pt idx="12">
                  <c:v>1.21839837957701e-07</c:v>
                </c:pt>
                <c:pt idx="13">
                  <c:v>2.71861425559605e-08</c:v>
                </c:pt>
                <c:pt idx="14">
                  <c:v>6.0660483423295e-09</c:v>
                </c:pt>
                <c:pt idx="15">
                  <c:v>1.3535183380921e-09</c:v>
                </c:pt>
                <c:pt idx="16">
                  <c:v>3.02010763542327e-10</c:v>
                </c:pt>
                <c:pt idx="17">
                  <c:v>6.73877100357489e-11</c:v>
                </c:pt>
                <c:pt idx="18">
                  <c:v>1.50362305323126e-11</c:v>
                </c:pt>
                <c:pt idx="19">
                  <c:v>3.35503652670362e-12</c:v>
                </c:pt>
                <c:pt idx="20">
                  <c:v>7.48609837507209e-13</c:v>
                </c:pt>
                <c:pt idx="21">
                  <c:v>1.67037432931674e-13</c:v>
                </c:pt>
                <c:pt idx="22">
                  <c:v>3.72710891608269e-14</c:v>
                </c:pt>
                <c:pt idx="23">
                  <c:v>8.31630409336178e-15</c:v>
                </c:pt>
                <c:pt idx="24">
                  <c:v>1.85561826419484e-15</c:v>
                </c:pt>
                <c:pt idx="25">
                  <c:v>4.1404440046415e-16</c:v>
                </c:pt>
                <c:pt idx="26">
                  <c:v>9.23857933841256e-17</c:v>
                </c:pt>
                <c:pt idx="27">
                  <c:v>2.06140568732397e-17</c:v>
                </c:pt>
                <c:pt idx="28">
                  <c:v>4.59961781143481e-18</c:v>
                </c:pt>
                <c:pt idx="29">
                  <c:v>1.02631345888702e-18</c:v>
                </c:pt>
                <c:pt idx="30">
                  <c:v>2.29001486443951e-19</c:v>
                </c:pt>
                <c:pt idx="31">
                  <c:v>5.1097138344467e-20</c:v>
                </c:pt>
                <c:pt idx="32">
                  <c:v>1.14013126619274e-20</c:v>
                </c:pt>
                <c:pt idx="33">
                  <c:v>2.54397672015818e-21</c:v>
                </c:pt>
                <c:pt idx="34">
                  <c:v>5.67637932982772e-22</c:v>
                </c:pt>
                <c:pt idx="35">
                  <c:v>1.2665714289277e-22</c:v>
                </c:pt>
                <c:pt idx="36">
                  <c:v>2.82610285776061e-23</c:v>
                </c:pt>
                <c:pt idx="37">
                  <c:v>6.30588783248064e-24</c:v>
                </c:pt>
                <c:pt idx="38">
                  <c:v>1.40703376193944e-24</c:v>
                </c:pt>
                <c:pt idx="39">
                  <c:v>3.13951668635795e-25</c:v>
                </c:pt>
                <c:pt idx="40">
                  <c:v>7.00520861015712e-26</c:v>
                </c:pt>
                <c:pt idx="41">
                  <c:v>1.56307331905753e-26</c:v>
                </c:pt>
                <c:pt idx="42">
                  <c:v>3.48768800005042e-27</c:v>
                </c:pt>
                <c:pt idx="43">
                  <c:v>7.78208381999017e-28</c:v>
                </c:pt>
                <c:pt idx="44">
                  <c:v>1.73641760904289e-28</c:v>
                </c:pt>
                <c:pt idx="45">
                  <c:v>3.87447139190293e-29</c:v>
                </c:pt>
                <c:pt idx="46">
                  <c:v>8.64511422165823e-30</c:v>
                </c:pt>
                <c:pt idx="47">
                  <c:v>1.92898572078004e-30</c:v>
                </c:pt>
                <c:pt idx="48">
                  <c:v>4.30414892801685e-31</c:v>
                </c:pt>
                <c:pt idx="49">
                  <c:v>9.60385439611106e-32</c:v>
                </c:pt>
                <c:pt idx="50">
                  <c:v>2.14290956944646e-32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Iз,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Uз,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Разряд, L/3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Iр, А</c:v>
          </c:tx>
          <c:spPr>
            <a:ln w="25000">
              <a:solidFill>
                <a:srgbClr val="548235"/>
              </a:solidFill>
              <a:prstDash val="solid"/>
            </a:ln>
          </c:spPr>
          <c:marker>
            <c:symbol val="none"/>
          </c:marker>
          <c:xVal>
            <c:numRef>
              <c:f>'Sheet1'!$AB$70:$AB$120</c:f>
              <c:numCache>
                <c:formatCode>General</c:formatCode>
                <c:ptCount val="51"/>
                <c:pt idx="0">
                  <c:v>0</c:v>
                </c:pt>
                <c:pt idx="1">
                  <c:v>5e-07</c:v>
                </c:pt>
                <c:pt idx="2">
                  <c:v>1e-06</c:v>
                </c:pt>
                <c:pt idx="3">
                  <c:v>1.5e-06</c:v>
                </c:pt>
                <c:pt idx="4">
                  <c:v>2e-06</c:v>
                </c:pt>
                <c:pt idx="5">
                  <c:v>2.5e-06</c:v>
                </c:pt>
                <c:pt idx="6">
                  <c:v>3e-06</c:v>
                </c:pt>
                <c:pt idx="7">
                  <c:v>3.5e-06</c:v>
                </c:pt>
                <c:pt idx="8">
                  <c:v>4e-06</c:v>
                </c:pt>
                <c:pt idx="9">
                  <c:v>4.5e-06</c:v>
                </c:pt>
                <c:pt idx="10">
                  <c:v>5e-06</c:v>
                </c:pt>
                <c:pt idx="11">
                  <c:v>5.5e-06</c:v>
                </c:pt>
                <c:pt idx="12">
                  <c:v>6e-06</c:v>
                </c:pt>
                <c:pt idx="13">
                  <c:v>6.5e-06</c:v>
                </c:pt>
                <c:pt idx="14">
                  <c:v>7e-06</c:v>
                </c:pt>
                <c:pt idx="15">
                  <c:v>7.5e-06</c:v>
                </c:pt>
                <c:pt idx="16">
                  <c:v>8e-06</c:v>
                </c:pt>
                <c:pt idx="17">
                  <c:v>8.5e-06</c:v>
                </c:pt>
                <c:pt idx="18">
                  <c:v>9e-06</c:v>
                </c:pt>
                <c:pt idx="19">
                  <c:v>9.5e-06</c:v>
                </c:pt>
                <c:pt idx="20">
                  <c:v>1e-05</c:v>
                </c:pt>
                <c:pt idx="21">
                  <c:v>1.05e-05</c:v>
                </c:pt>
                <c:pt idx="22">
                  <c:v>1.1e-05</c:v>
                </c:pt>
                <c:pt idx="23">
                  <c:v>1.15e-05</c:v>
                </c:pt>
                <c:pt idx="24">
                  <c:v>1.2e-05</c:v>
                </c:pt>
                <c:pt idx="25">
                  <c:v>1.25e-05</c:v>
                </c:pt>
                <c:pt idx="26">
                  <c:v>1.3e-05</c:v>
                </c:pt>
                <c:pt idx="27">
                  <c:v>1.35e-05</c:v>
                </c:pt>
                <c:pt idx="28">
                  <c:v>1.4e-05</c:v>
                </c:pt>
                <c:pt idx="29">
                  <c:v>1.45e-05</c:v>
                </c:pt>
                <c:pt idx="30">
                  <c:v>1.5e-05</c:v>
                </c:pt>
                <c:pt idx="31">
                  <c:v>1.55e-05</c:v>
                </c:pt>
                <c:pt idx="32">
                  <c:v>1.6e-05</c:v>
                </c:pt>
                <c:pt idx="33">
                  <c:v>1.65e-05</c:v>
                </c:pt>
                <c:pt idx="34">
                  <c:v>1.7e-05</c:v>
                </c:pt>
                <c:pt idx="35">
                  <c:v>1.75e-05</c:v>
                </c:pt>
                <c:pt idx="36">
                  <c:v>1.8e-05</c:v>
                </c:pt>
                <c:pt idx="37">
                  <c:v>1.85e-05</c:v>
                </c:pt>
                <c:pt idx="38">
                  <c:v>1.9e-05</c:v>
                </c:pt>
                <c:pt idx="39">
                  <c:v>1.95e-05</c:v>
                </c:pt>
                <c:pt idx="40">
                  <c:v>2e-05</c:v>
                </c:pt>
                <c:pt idx="41">
                  <c:v>2.05e-05</c:v>
                </c:pt>
                <c:pt idx="42">
                  <c:v>2.1e-05</c:v>
                </c:pt>
                <c:pt idx="43">
                  <c:v>2.15e-05</c:v>
                </c:pt>
                <c:pt idx="44">
                  <c:v>2.2e-05</c:v>
                </c:pt>
                <c:pt idx="45">
                  <c:v>2.25e-05</c:v>
                </c:pt>
                <c:pt idx="46">
                  <c:v>2.3e-05</c:v>
                </c:pt>
                <c:pt idx="47">
                  <c:v>2.35e-05</c:v>
                </c:pt>
                <c:pt idx="48">
                  <c:v>2.4e-05</c:v>
                </c:pt>
                <c:pt idx="49">
                  <c:v>2.45e-05</c:v>
                </c:pt>
                <c:pt idx="50">
                  <c:v>2.5e-05</c:v>
                </c:pt>
              </c:numCache>
            </c:numRef>
          </c:xVal>
          <c:yVal>
            <c:numRef>
              <c:f>'Sheet1'!$AC$70:$AC$120</c:f>
              <c:numCache>
                <c:formatCode>General</c:formatCode>
                <c:ptCount val="51"/>
                <c:pt idx="0">
                  <c:v>0.0666666666666667</c:v>
                </c:pt>
                <c:pt idx="1">
                  <c:v>0.0545820502051988</c:v>
                </c:pt>
                <c:pt idx="2">
                  <c:v>0.0446880030690426</c:v>
                </c:pt>
                <c:pt idx="3">
                  <c:v>0.0365874424062684</c:v>
                </c:pt>
                <c:pt idx="4">
                  <c:v>0.0299552642744814</c:v>
                </c:pt>
                <c:pt idx="5">
                  <c:v>0.0245252960780962</c:v>
                </c:pt>
                <c:pt idx="6">
                  <c:v>0.0200796141274801</c:v>
                </c:pt>
                <c:pt idx="7">
                  <c:v>0.0164397975961071</c:v>
                </c:pt>
                <c:pt idx="8">
                  <c:v>0.0134597678663104</c:v>
                </c:pt>
                <c:pt idx="9">
                  <c:v>0.0110199258814391</c:v>
                </c:pt>
                <c:pt idx="10">
                  <c:v>0.00902235221577418</c:v>
                </c:pt>
                <c:pt idx="11">
                  <c:v>0.00738687722415559</c:v>
                </c:pt>
                <c:pt idx="12">
                  <c:v>0.0060478635526275</c:v>
                </c:pt>
                <c:pt idx="13">
                  <c:v>0.00495157188095559</c:v>
                </c:pt>
                <c:pt idx="14">
                  <c:v>0.00405400417501453</c:v>
                </c:pt>
                <c:pt idx="15">
                  <c:v>0.00331913789119093</c:v>
                </c:pt>
                <c:pt idx="16">
                  <c:v>0.00271748026522441</c:v>
                </c:pt>
                <c:pt idx="17">
                  <c:v>0.00222488466402174</c:v>
                </c:pt>
                <c:pt idx="18">
                  <c:v>0.00182158149648617</c:v>
                </c:pt>
                <c:pt idx="19">
                  <c:v>0.00149138479041104</c:v>
                </c:pt>
                <c:pt idx="20">
                  <c:v>0.00122104259258228</c:v>
                </c:pt>
                <c:pt idx="21">
                  <c:v>0.00099970512136518</c:v>
                </c:pt>
                <c:pt idx="22">
                  <c:v>0.000818489326871229</c:v>
                </c:pt>
                <c:pt idx="23">
                  <c:v>0.000670122382975572</c:v>
                </c:pt>
                <c:pt idx="24">
                  <c:v>0.000548649803268001</c:v>
                </c:pt>
                <c:pt idx="25">
                  <c:v>0.000449196466605698</c:v>
                </c:pt>
                <c:pt idx="26">
                  <c:v>0.000367770961384051</c:v>
                </c:pt>
                <c:pt idx="27">
                  <c:v>0.000301105396174178</c:v>
                </c:pt>
                <c:pt idx="28">
                  <c:v>0.000246524247765529</c:v>
                </c:pt>
                <c:pt idx="29">
                  <c:v>0.000201836983025054</c:v>
                </c:pt>
                <c:pt idx="30">
                  <c:v>0.000165250145111091</c:v>
                </c:pt>
                <c:pt idx="31">
                  <c:v>0.000135295375753049</c:v>
                </c:pt>
                <c:pt idx="32">
                  <c:v>0.000110770484878262</c:v>
                </c:pt>
                <c:pt idx="33">
                  <c:v>9.0691202503193e-05</c:v>
                </c:pt>
                <c:pt idx="34">
                  <c:v>7.42516765229868e-05</c:v>
                </c:pt>
                <c:pt idx="35">
                  <c:v>6.07921310369678e-05</c:v>
                </c:pt>
                <c:pt idx="36">
                  <c:v>4.97723872251119e-05</c:v>
                </c:pt>
                <c:pt idx="37">
                  <c:v>4.07501840753049e-05</c:v>
                </c:pt>
                <c:pt idx="38">
                  <c:v>3.33634288960407e-05</c:v>
                </c:pt>
                <c:pt idx="39">
                  <c:v>2.73156652653191e-05</c:v>
                </c:pt>
                <c:pt idx="40">
                  <c:v>2.23641751935008e-05</c:v>
                </c:pt>
                <c:pt idx="41">
                  <c:v>1.83102379981428e-05</c:v>
                </c:pt>
                <c:pt idx="42">
                  <c:v>1.49911549452565e-05</c:v>
                </c:pt>
                <c:pt idx="43">
                  <c:v>1.22737195778386e-05</c:v>
                </c:pt>
                <c:pt idx="44">
                  <c:v>1.00488716730318e-05</c:v>
                </c:pt>
                <c:pt idx="45">
                  <c:v>8.2273202724453e-06</c:v>
                </c:pt>
                <c:pt idx="46">
                  <c:v>6.73596012247288e-06</c:v>
                </c:pt>
                <c:pt idx="47">
                  <c:v>5.51493770377548e-06</c:v>
                </c:pt>
                <c:pt idx="48">
                  <c:v>4.51524909939025e-06</c:v>
                </c:pt>
                <c:pt idx="49">
                  <c:v>3.69677329547846e-06</c:v>
                </c:pt>
                <c:pt idx="50">
                  <c:v>3.02666198416566e-06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Uр,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'Sheet1'!$AB$70:$AB$120</c:f>
              <c:numCache>
                <c:formatCode>General</c:formatCode>
                <c:ptCount val="51"/>
                <c:pt idx="0">
                  <c:v>0</c:v>
                </c:pt>
                <c:pt idx="1">
                  <c:v>5e-07</c:v>
                </c:pt>
                <c:pt idx="2">
                  <c:v>1e-06</c:v>
                </c:pt>
                <c:pt idx="3">
                  <c:v>1.5e-06</c:v>
                </c:pt>
                <c:pt idx="4">
                  <c:v>2e-06</c:v>
                </c:pt>
                <c:pt idx="5">
                  <c:v>2.5e-06</c:v>
                </c:pt>
                <c:pt idx="6">
                  <c:v>3e-06</c:v>
                </c:pt>
                <c:pt idx="7">
                  <c:v>3.5e-06</c:v>
                </c:pt>
                <c:pt idx="8">
                  <c:v>4e-06</c:v>
                </c:pt>
                <c:pt idx="9">
                  <c:v>4.5e-06</c:v>
                </c:pt>
                <c:pt idx="10">
                  <c:v>5e-06</c:v>
                </c:pt>
                <c:pt idx="11">
                  <c:v>5.5e-06</c:v>
                </c:pt>
                <c:pt idx="12">
                  <c:v>6e-06</c:v>
                </c:pt>
                <c:pt idx="13">
                  <c:v>6.5e-06</c:v>
                </c:pt>
                <c:pt idx="14">
                  <c:v>7e-06</c:v>
                </c:pt>
                <c:pt idx="15">
                  <c:v>7.5e-06</c:v>
                </c:pt>
                <c:pt idx="16">
                  <c:v>8e-06</c:v>
                </c:pt>
                <c:pt idx="17">
                  <c:v>8.5e-06</c:v>
                </c:pt>
                <c:pt idx="18">
                  <c:v>9e-06</c:v>
                </c:pt>
                <c:pt idx="19">
                  <c:v>9.5e-06</c:v>
                </c:pt>
                <c:pt idx="20">
                  <c:v>1e-05</c:v>
                </c:pt>
                <c:pt idx="21">
                  <c:v>1.05e-05</c:v>
                </c:pt>
                <c:pt idx="22">
                  <c:v>1.1e-05</c:v>
                </c:pt>
                <c:pt idx="23">
                  <c:v>1.15e-05</c:v>
                </c:pt>
                <c:pt idx="24">
                  <c:v>1.2e-05</c:v>
                </c:pt>
                <c:pt idx="25">
                  <c:v>1.25e-05</c:v>
                </c:pt>
                <c:pt idx="26">
                  <c:v>1.3e-05</c:v>
                </c:pt>
                <c:pt idx="27">
                  <c:v>1.35e-05</c:v>
                </c:pt>
                <c:pt idx="28">
                  <c:v>1.4e-05</c:v>
                </c:pt>
                <c:pt idx="29">
                  <c:v>1.45e-05</c:v>
                </c:pt>
                <c:pt idx="30">
                  <c:v>1.5e-05</c:v>
                </c:pt>
                <c:pt idx="31">
                  <c:v>1.55e-05</c:v>
                </c:pt>
                <c:pt idx="32">
                  <c:v>1.6e-05</c:v>
                </c:pt>
                <c:pt idx="33">
                  <c:v>1.65e-05</c:v>
                </c:pt>
                <c:pt idx="34">
                  <c:v>1.7e-05</c:v>
                </c:pt>
                <c:pt idx="35">
                  <c:v>1.75e-05</c:v>
                </c:pt>
                <c:pt idx="36">
                  <c:v>1.8e-05</c:v>
                </c:pt>
                <c:pt idx="37">
                  <c:v>1.85e-05</c:v>
                </c:pt>
                <c:pt idx="38">
                  <c:v>1.9e-05</c:v>
                </c:pt>
                <c:pt idx="39">
                  <c:v>1.95e-05</c:v>
                </c:pt>
                <c:pt idx="40">
                  <c:v>2e-05</c:v>
                </c:pt>
                <c:pt idx="41">
                  <c:v>2.05e-05</c:v>
                </c:pt>
                <c:pt idx="42">
                  <c:v>2.1e-05</c:v>
                </c:pt>
                <c:pt idx="43">
                  <c:v>2.15e-05</c:v>
                </c:pt>
                <c:pt idx="44">
                  <c:v>2.2e-05</c:v>
                </c:pt>
                <c:pt idx="45">
                  <c:v>2.25e-05</c:v>
                </c:pt>
                <c:pt idx="46">
                  <c:v>2.3e-05</c:v>
                </c:pt>
                <c:pt idx="47">
                  <c:v>2.35e-05</c:v>
                </c:pt>
                <c:pt idx="48">
                  <c:v>2.4e-05</c:v>
                </c:pt>
                <c:pt idx="49">
                  <c:v>2.45e-05</c:v>
                </c:pt>
                <c:pt idx="50">
                  <c:v>2.5e-05</c:v>
                </c:pt>
              </c:numCache>
            </c:numRef>
          </c:xVal>
          <c:yVal>
            <c:numRef>
              <c:f>'Sheet1'!$AD$70:$AD$120</c:f>
              <c:numCache>
                <c:formatCode>General</c:formatCode>
                <c:ptCount val="51"/>
                <c:pt idx="0">
                  <c:v>-8</c:v>
                </c:pt>
                <c:pt idx="1">
                  <c:v>-6.54984602462385</c:v>
                </c:pt>
                <c:pt idx="2">
                  <c:v>-5.36256036828511</c:v>
                </c:pt>
                <c:pt idx="3">
                  <c:v>-4.39049308875221</c:v>
                </c:pt>
                <c:pt idx="4">
                  <c:v>-3.59463171293777</c:v>
                </c:pt>
                <c:pt idx="5">
                  <c:v>-2.94303552937154</c:v>
                </c:pt>
                <c:pt idx="6">
                  <c:v>-2.40955369529762</c:v>
                </c:pt>
                <c:pt idx="7">
                  <c:v>-1.97277571153285</c:v>
                </c:pt>
                <c:pt idx="8">
                  <c:v>-1.61517214395724</c:v>
                </c:pt>
                <c:pt idx="9">
                  <c:v>-1.32239110577269</c:v>
                </c:pt>
                <c:pt idx="10">
                  <c:v>-1.0826822658929</c:v>
                </c:pt>
                <c:pt idx="11">
                  <c:v>-0.886425266898671</c:v>
                </c:pt>
                <c:pt idx="12">
                  <c:v>-0.7257436263153</c:v>
                </c:pt>
                <c:pt idx="13">
                  <c:v>-0.594188625714671</c:v>
                </c:pt>
                <c:pt idx="14">
                  <c:v>-0.486480501001744</c:v>
                </c:pt>
                <c:pt idx="15">
                  <c:v>-0.398296546942912</c:v>
                </c:pt>
                <c:pt idx="16">
                  <c:v>-0.32609763182693</c:v>
                </c:pt>
                <c:pt idx="17">
                  <c:v>-0.266986159682609</c:v>
                </c:pt>
                <c:pt idx="18">
                  <c:v>-0.21858977957834</c:v>
                </c:pt>
                <c:pt idx="19">
                  <c:v>-0.178966174849325</c:v>
                </c:pt>
                <c:pt idx="20">
                  <c:v>-0.146525111109873</c:v>
                </c:pt>
                <c:pt idx="21">
                  <c:v>-0.119964614563822</c:v>
                </c:pt>
                <c:pt idx="22">
                  <c:v>-0.0982187192245475</c:v>
                </c:pt>
                <c:pt idx="23">
                  <c:v>-0.0804146859570686</c:v>
                </c:pt>
                <c:pt idx="24">
                  <c:v>-0.0658379763921602</c:v>
                </c:pt>
                <c:pt idx="25">
                  <c:v>-0.0539035759926837</c:v>
                </c:pt>
                <c:pt idx="26">
                  <c:v>-0.0441325153660862</c:v>
                </c:pt>
                <c:pt idx="27">
                  <c:v>-0.0361326475409013</c:v>
                </c:pt>
                <c:pt idx="28">
                  <c:v>-0.0295829097318634</c:v>
                </c:pt>
                <c:pt idx="29">
                  <c:v>-0.0242204379630065</c:v>
                </c:pt>
                <c:pt idx="30">
                  <c:v>-0.0198300174133309</c:v>
                </c:pt>
                <c:pt idx="31">
                  <c:v>-0.0162354450903659</c:v>
                </c:pt>
                <c:pt idx="32">
                  <c:v>-0.0132924581853915</c:v>
                </c:pt>
                <c:pt idx="33">
                  <c:v>-0.0108829443003832</c:v>
                </c:pt>
                <c:pt idx="34">
                  <c:v>-0.00891020118275842</c:v>
                </c:pt>
                <c:pt idx="35">
                  <c:v>-0.00729505572443613</c:v>
                </c:pt>
                <c:pt idx="36">
                  <c:v>-0.00597268646701343</c:v>
                </c:pt>
                <c:pt idx="37">
                  <c:v>-0.00489002208903658</c:v>
                </c:pt>
                <c:pt idx="38">
                  <c:v>-0.00400361146752488</c:v>
                </c:pt>
                <c:pt idx="39">
                  <c:v>-0.00327787983183829</c:v>
                </c:pt>
                <c:pt idx="40">
                  <c:v>-0.00268370102322009</c:v>
                </c:pt>
                <c:pt idx="41">
                  <c:v>-0.00219722855977714</c:v>
                </c:pt>
                <c:pt idx="42">
                  <c:v>-0.00179893859343079</c:v>
                </c:pt>
                <c:pt idx="43">
                  <c:v>-0.00147284634934063</c:v>
                </c:pt>
                <c:pt idx="44">
                  <c:v>-0.00120586460076381</c:v>
                </c:pt>
                <c:pt idx="45">
                  <c:v>-0.000987278432693436</c:v>
                </c:pt>
                <c:pt idx="46">
                  <c:v>-0.000808315214696746</c:v>
                </c:pt>
                <c:pt idx="47">
                  <c:v>-0.000661792524453058</c:v>
                </c:pt>
                <c:pt idx="48">
                  <c:v>-0.00054182989192683</c:v>
                </c:pt>
                <c:pt idx="49">
                  <c:v>-0.000443612795457416</c:v>
                </c:pt>
                <c:pt idx="50">
                  <c:v>-0.000363199438099879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Iр,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Uр,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Заряд, r/2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Iз, А</c:v>
          </c:tx>
          <c:spPr>
            <a:ln w="25000">
              <a:solidFill>
                <a:srgbClr val="ED7D31"/>
              </a:solidFill>
              <a:prstDash val="solid"/>
            </a:ln>
          </c:spPr>
          <c:marker>
            <c:symbol val="none"/>
          </c:marker>
          <c:xVal>
            <c:numRef>
              <c:f>'Sheet1'!$AO$10:$AO$60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'Sheet1'!$AP$10:$AP$60</c:f>
              <c:numCache>
                <c:formatCode>General</c:formatCode>
                <c:ptCount val="51"/>
                <c:pt idx="0">
                  <c:v>0</c:v>
                </c:pt>
                <c:pt idx="1">
                  <c:v>0.393243052317502</c:v>
                </c:pt>
                <c:pt idx="2">
                  <c:v>0.699501049399763</c:v>
                </c:pt>
                <c:pt idx="3">
                  <c:v>0.938015017349307</c:v>
                </c:pt>
                <c:pt idx="4">
                  <c:v>1.12376988236188</c:v>
                </c:pt>
                <c:pt idx="5">
                  <c:v>1.268435916693</c:v>
                </c:pt>
                <c:pt idx="6">
                  <c:v>1.3811019375139</c:v>
                </c:pt>
                <c:pt idx="7">
                  <c:v>1.46884632275476</c:v>
                </c:pt>
                <c:pt idx="8">
                  <c:v>1.53718171869047</c:v>
                </c:pt>
                <c:pt idx="9">
                  <c:v>1.59040137855669</c:v>
                </c:pt>
                <c:pt idx="10">
                  <c:v>1.63184889133529</c:v>
                </c:pt>
                <c:pt idx="11">
                  <c:v>1.66412824674363</c:v>
                </c:pt>
                <c:pt idx="12">
                  <c:v>1.68926743401269</c:v>
                </c:pt>
                <c:pt idx="13">
                  <c:v>1.70884585274361</c:v>
                </c:pt>
                <c:pt idx="14">
                  <c:v>1.72409354058254</c:v>
                </c:pt>
                <c:pt idx="15">
                  <c:v>1.73596845181154</c:v>
                </c:pt>
                <c:pt idx="16">
                  <c:v>1.74521664197558</c:v>
                </c:pt>
                <c:pt idx="17">
                  <c:v>1.75241913971733</c:v>
                </c:pt>
                <c:pt idx="18">
                  <c:v>1.75802845059868</c:v>
                </c:pt>
                <c:pt idx="19">
                  <c:v>1.76239698630556</c:v>
                </c:pt>
                <c:pt idx="20">
                  <c:v>1.76579920533496</c:v>
                </c:pt>
                <c:pt idx="21">
                  <c:v>1.76844885617923</c:v>
                </c:pt>
                <c:pt idx="22">
                  <c:v>1.77051240633162</c:v>
                </c:pt>
                <c:pt idx="23">
                  <c:v>1.7721195008062</c:v>
                </c:pt>
                <c:pt idx="24">
                  <c:v>1.77337110724148</c:v>
                </c:pt>
                <c:pt idx="25">
                  <c:v>1.77434585931337</c:v>
                </c:pt>
                <c:pt idx="26">
                  <c:v>1.77510499699026</c:v>
                </c:pt>
                <c:pt idx="27">
                  <c:v>1.77569621400748</c:v>
                </c:pt>
                <c:pt idx="28">
                  <c:v>1.77615665428346</c:v>
                </c:pt>
                <c:pt idx="29">
                  <c:v>1.77651524553095</c:v>
                </c:pt>
                <c:pt idx="30">
                  <c:v>1.77679451667529</c:v>
                </c:pt>
                <c:pt idx="31">
                  <c:v>1.7770120132612</c:v>
                </c:pt>
                <c:pt idx="32">
                  <c:v>1.77718139977262</c:v>
                </c:pt>
                <c:pt idx="33">
                  <c:v>1.77731331812035</c:v>
                </c:pt>
                <c:pt idx="34">
                  <c:v>1.77741605623287</c:v>
                </c:pt>
                <c:pt idx="35">
                  <c:v>1.77749606875535</c:v>
                </c:pt>
                <c:pt idx="36">
                  <c:v>1.77755838257051</c:v>
                </c:pt>
                <c:pt idx="37">
                  <c:v>1.77760691261856</c:v>
                </c:pt>
                <c:pt idx="38">
                  <c:v>1.77764470785798</c:v>
                </c:pt>
                <c:pt idx="39">
                  <c:v>1.77767414282003</c:v>
                </c:pt>
                <c:pt idx="40">
                  <c:v>1.77769706679153</c:v>
                </c:pt>
                <c:pt idx="41">
                  <c:v>1.77771491999849</c:v>
                </c:pt>
                <c:pt idx="42">
                  <c:v>1.77772882409004</c:v>
                </c:pt>
                <c:pt idx="43">
                  <c:v>1.77773965260744</c:v>
                </c:pt>
                <c:pt idx="44">
                  <c:v>1.77774808586526</c:v>
                </c:pt>
                <c:pt idx="45">
                  <c:v>1.77775465369306</c:v>
                </c:pt>
                <c:pt idx="46">
                  <c:v>1.77775976872249</c:v>
                </c:pt>
                <c:pt idx="47">
                  <c:v>1.77776375231142</c:v>
                </c:pt>
                <c:pt idx="48">
                  <c:v>1.77776685473359</c:v>
                </c:pt>
                <c:pt idx="49">
                  <c:v>1.77776927090241</c:v>
                </c:pt>
                <c:pt idx="50">
                  <c:v>1.77777115261658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Uз,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'Sheet1'!$AO$10:$AO$60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'Sheet1'!$AQ$10:$AQ$60</c:f>
              <c:numCache>
                <c:formatCode>General</c:formatCode>
                <c:ptCount val="51"/>
                <c:pt idx="0">
                  <c:v>8</c:v>
                </c:pt>
                <c:pt idx="1">
                  <c:v>6.23040626457124</c:v>
                </c:pt>
                <c:pt idx="2">
                  <c:v>4.85224527770107</c:v>
                </c:pt>
                <c:pt idx="3">
                  <c:v>3.77893242192812</c:v>
                </c:pt>
                <c:pt idx="4">
                  <c:v>2.94303552937154</c:v>
                </c:pt>
                <c:pt idx="5">
                  <c:v>2.29203837488152</c:v>
                </c:pt>
                <c:pt idx="6">
                  <c:v>1.78504128118744</c:v>
                </c:pt>
                <c:pt idx="7">
                  <c:v>1.39019154760356</c:v>
                </c:pt>
                <c:pt idx="8">
                  <c:v>1.0826822658929</c:v>
                </c:pt>
                <c:pt idx="9">
                  <c:v>0.843193796494914</c:v>
                </c:pt>
                <c:pt idx="10">
                  <c:v>0.65667998899119</c:v>
                </c:pt>
                <c:pt idx="11">
                  <c:v>0.51142288965366</c:v>
                </c:pt>
                <c:pt idx="12">
                  <c:v>0.398296546942911</c:v>
                </c:pt>
                <c:pt idx="13">
                  <c:v>0.310193662653776</c:v>
                </c:pt>
                <c:pt idx="14">
                  <c:v>0.241579067378548</c:v>
                </c:pt>
                <c:pt idx="15">
                  <c:v>0.188141966848073</c:v>
                </c:pt>
                <c:pt idx="16">
                  <c:v>0.146525111109873</c:v>
                </c:pt>
                <c:pt idx="17">
                  <c:v>0.114113871271994</c:v>
                </c:pt>
                <c:pt idx="18">
                  <c:v>0.0888719723059384</c:v>
                </c:pt>
                <c:pt idx="19">
                  <c:v>0.0692135616249651</c:v>
                </c:pt>
                <c:pt idx="20">
                  <c:v>0.0539035759926837</c:v>
                </c:pt>
                <c:pt idx="21">
                  <c:v>0.041980147193451</c:v>
                </c:pt>
                <c:pt idx="22">
                  <c:v>0.0326941715077125</c:v>
                </c:pt>
                <c:pt idx="23">
                  <c:v>0.0254622463720773</c:v>
                </c:pt>
                <c:pt idx="24">
                  <c:v>0.0198300174133309</c:v>
                </c:pt>
                <c:pt idx="25">
                  <c:v>0.0154436330898217</c:v>
                </c:pt>
                <c:pt idx="26">
                  <c:v>0.0120275135438206</c:v>
                </c:pt>
                <c:pt idx="27">
                  <c:v>0.00936703696632939</c:v>
                </c:pt>
                <c:pt idx="28">
                  <c:v>0.00729505572443613</c:v>
                </c:pt>
                <c:pt idx="29">
                  <c:v>0.00568139511074039</c:v>
                </c:pt>
                <c:pt idx="30">
                  <c:v>0.00442467496118267</c:v>
                </c:pt>
                <c:pt idx="31">
                  <c:v>0.0034459403246055</c:v>
                </c:pt>
                <c:pt idx="32">
                  <c:v>0.00268370102322009</c:v>
                </c:pt>
                <c:pt idx="33">
                  <c:v>0.00209006845841334</c:v>
                </c:pt>
                <c:pt idx="34">
                  <c:v>0.00162774695208515</c:v>
                </c:pt>
                <c:pt idx="35">
                  <c:v>0.00126769060092601</c:v>
                </c:pt>
                <c:pt idx="36">
                  <c:v>0.000987278432693435</c:v>
                </c:pt>
                <c:pt idx="37">
                  <c:v>0.000768893216491156</c:v>
                </c:pt>
                <c:pt idx="38">
                  <c:v>0.000598814639101605</c:v>
                </c:pt>
                <c:pt idx="39">
                  <c:v>0.00046635730984695</c:v>
                </c:pt>
                <c:pt idx="40">
                  <c:v>0.000363199438099878</c:v>
                </c:pt>
                <c:pt idx="41">
                  <c:v>0.000282860006803279</c:v>
                </c:pt>
                <c:pt idx="42">
                  <c:v>0.000220291594797977</c:v>
                </c:pt>
                <c:pt idx="43">
                  <c:v>0.000171563266532713</c:v>
                </c:pt>
                <c:pt idx="44">
                  <c:v>0.000133613606321965</c:v>
                </c:pt>
                <c:pt idx="45">
                  <c:v>0.000104058381232541</c:v>
                </c:pt>
                <c:pt idx="46">
                  <c:v>8.10407487890457e-05</c:v>
                </c:pt>
                <c:pt idx="47">
                  <c:v>6.31145986176017e-05</c:v>
                </c:pt>
                <c:pt idx="48">
                  <c:v>4.91536988266256e-05</c:v>
                </c:pt>
                <c:pt idx="49">
                  <c:v>3.82809391370321e-05</c:v>
                </c:pt>
                <c:pt idx="50">
                  <c:v>2.98132253766294e-05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Iз,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Uз,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Разряд, R/10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Iр, А</c:v>
          </c:tx>
          <c:spPr>
            <a:ln w="25000">
              <a:solidFill>
                <a:srgbClr val="548235"/>
              </a:solidFill>
              <a:prstDash val="solid"/>
            </a:ln>
          </c:spPr>
          <c:marker>
            <c:symbol val="none"/>
          </c:marker>
          <c:xVal>
            <c:numRef>
              <c:f>'Sheet1'!$AW$70:$AW$120</c:f>
              <c:numCache>
                <c:formatCode>General</c:formatCode>
                <c:ptCount val="51"/>
                <c:pt idx="0">
                  <c:v>0</c:v>
                </c:pt>
                <c:pt idx="1">
                  <c:v>1.5e-05</c:v>
                </c:pt>
                <c:pt idx="2">
                  <c:v>3e-05</c:v>
                </c:pt>
                <c:pt idx="3">
                  <c:v>4.5e-05</c:v>
                </c:pt>
                <c:pt idx="4">
                  <c:v>6e-05</c:v>
                </c:pt>
                <c:pt idx="5">
                  <c:v>7.5e-05</c:v>
                </c:pt>
                <c:pt idx="6">
                  <c:v>9e-05</c:v>
                </c:pt>
                <c:pt idx="7">
                  <c:v>0.000105</c:v>
                </c:pt>
                <c:pt idx="8">
                  <c:v>0.00012</c:v>
                </c:pt>
                <c:pt idx="9">
                  <c:v>0.000135</c:v>
                </c:pt>
                <c:pt idx="10">
                  <c:v>0.00015</c:v>
                </c:pt>
                <c:pt idx="11">
                  <c:v>0.000165</c:v>
                </c:pt>
                <c:pt idx="12">
                  <c:v>0.00018</c:v>
                </c:pt>
                <c:pt idx="13">
                  <c:v>0.000195</c:v>
                </c:pt>
                <c:pt idx="14">
                  <c:v>0.00021</c:v>
                </c:pt>
                <c:pt idx="15">
                  <c:v>0.000225</c:v>
                </c:pt>
                <c:pt idx="16">
                  <c:v>0.00024</c:v>
                </c:pt>
                <c:pt idx="17">
                  <c:v>0.000255</c:v>
                </c:pt>
                <c:pt idx="18">
                  <c:v>0.00027</c:v>
                </c:pt>
                <c:pt idx="19">
                  <c:v>0.000285</c:v>
                </c:pt>
                <c:pt idx="20">
                  <c:v>0.0003</c:v>
                </c:pt>
                <c:pt idx="21">
                  <c:v>0.000315</c:v>
                </c:pt>
                <c:pt idx="22">
                  <c:v>0.00033</c:v>
                </c:pt>
                <c:pt idx="23">
                  <c:v>0.000345</c:v>
                </c:pt>
                <c:pt idx="24">
                  <c:v>0.00036</c:v>
                </c:pt>
                <c:pt idx="25">
                  <c:v>0.000375</c:v>
                </c:pt>
                <c:pt idx="26">
                  <c:v>0.00039</c:v>
                </c:pt>
                <c:pt idx="27">
                  <c:v>0.000405</c:v>
                </c:pt>
                <c:pt idx="28">
                  <c:v>0.00042</c:v>
                </c:pt>
                <c:pt idx="29">
                  <c:v>0.000435</c:v>
                </c:pt>
                <c:pt idx="30">
                  <c:v>0.00045</c:v>
                </c:pt>
                <c:pt idx="31">
                  <c:v>0.000465</c:v>
                </c:pt>
                <c:pt idx="32">
                  <c:v>0.00048</c:v>
                </c:pt>
                <c:pt idx="33">
                  <c:v>0.000495</c:v>
                </c:pt>
                <c:pt idx="34">
                  <c:v>0.00051</c:v>
                </c:pt>
                <c:pt idx="35">
                  <c:v>0.000525</c:v>
                </c:pt>
                <c:pt idx="36">
                  <c:v>0.00054</c:v>
                </c:pt>
                <c:pt idx="37">
                  <c:v>0.000555</c:v>
                </c:pt>
                <c:pt idx="38">
                  <c:v>0.00057</c:v>
                </c:pt>
                <c:pt idx="39">
                  <c:v>0.000585</c:v>
                </c:pt>
                <c:pt idx="40">
                  <c:v>0.0006</c:v>
                </c:pt>
                <c:pt idx="41">
                  <c:v>0.000615</c:v>
                </c:pt>
                <c:pt idx="42">
                  <c:v>0.00063</c:v>
                </c:pt>
                <c:pt idx="43">
                  <c:v>0.000645</c:v>
                </c:pt>
                <c:pt idx="44">
                  <c:v>0.00066</c:v>
                </c:pt>
                <c:pt idx="45">
                  <c:v>0.000675</c:v>
                </c:pt>
                <c:pt idx="46">
                  <c:v>0.00069</c:v>
                </c:pt>
                <c:pt idx="47">
                  <c:v>0.000705</c:v>
                </c:pt>
                <c:pt idx="48">
                  <c:v>0.00072</c:v>
                </c:pt>
                <c:pt idx="49">
                  <c:v>0.000735</c:v>
                </c:pt>
                <c:pt idx="50">
                  <c:v>0.00075</c:v>
                </c:pt>
              </c:numCache>
            </c:numRef>
          </c:xVal>
          <c:yVal>
            <c:numRef>
              <c:f>'Sheet1'!$AX$70:$AX$120</c:f>
              <c:numCache>
                <c:formatCode>General</c:formatCode>
                <c:ptCount val="51"/>
                <c:pt idx="0">
                  <c:v>0.666666666666667</c:v>
                </c:pt>
                <c:pt idx="1">
                  <c:v>0.545820502051988</c:v>
                </c:pt>
                <c:pt idx="2">
                  <c:v>0.446880030690426</c:v>
                </c:pt>
                <c:pt idx="3">
                  <c:v>0.365874424062684</c:v>
                </c:pt>
                <c:pt idx="4">
                  <c:v>0.299552642744814</c:v>
                </c:pt>
                <c:pt idx="5">
                  <c:v>0.245252960780962</c:v>
                </c:pt>
                <c:pt idx="6">
                  <c:v>0.200796141274801</c:v>
                </c:pt>
                <c:pt idx="7">
                  <c:v>0.164397975961071</c:v>
                </c:pt>
                <c:pt idx="8">
                  <c:v>0.134597678663104</c:v>
                </c:pt>
                <c:pt idx="9">
                  <c:v>0.110199258814391</c:v>
                </c:pt>
                <c:pt idx="10">
                  <c:v>0.0902235221577418</c:v>
                </c:pt>
                <c:pt idx="11">
                  <c:v>0.0738687722415559</c:v>
                </c:pt>
                <c:pt idx="12">
                  <c:v>0.060478635526275</c:v>
                </c:pt>
                <c:pt idx="13">
                  <c:v>0.0495157188095559</c:v>
                </c:pt>
                <c:pt idx="14">
                  <c:v>0.0405400417501453</c:v>
                </c:pt>
                <c:pt idx="15">
                  <c:v>0.0331913789119093</c:v>
                </c:pt>
                <c:pt idx="16">
                  <c:v>0.0271748026522441</c:v>
                </c:pt>
                <c:pt idx="17">
                  <c:v>0.0222488466402174</c:v>
                </c:pt>
                <c:pt idx="18">
                  <c:v>0.0182158149648617</c:v>
                </c:pt>
                <c:pt idx="19">
                  <c:v>0.0149138479041104</c:v>
                </c:pt>
                <c:pt idx="20">
                  <c:v>0.0122104259258228</c:v>
                </c:pt>
                <c:pt idx="21">
                  <c:v>0.00999705121365181</c:v>
                </c:pt>
                <c:pt idx="22">
                  <c:v>0.00818489326871229</c:v>
                </c:pt>
                <c:pt idx="23">
                  <c:v>0.00670122382975572</c:v>
                </c:pt>
                <c:pt idx="24">
                  <c:v>0.00548649803268002</c:v>
                </c:pt>
                <c:pt idx="25">
                  <c:v>0.00449196466605698</c:v>
                </c:pt>
                <c:pt idx="26">
                  <c:v>0.00367770961384052</c:v>
                </c:pt>
                <c:pt idx="27">
                  <c:v>0.00301105396174178</c:v>
                </c:pt>
                <c:pt idx="28">
                  <c:v>0.00246524247765529</c:v>
                </c:pt>
                <c:pt idx="29">
                  <c:v>0.00201836983025055</c:v>
                </c:pt>
                <c:pt idx="30">
                  <c:v>0.0016525014511109</c:v>
                </c:pt>
                <c:pt idx="31">
                  <c:v>0.00135295375753049</c:v>
                </c:pt>
                <c:pt idx="32">
                  <c:v>0.00110770484878262</c:v>
                </c:pt>
                <c:pt idx="33">
                  <c:v>0.000906912025031929</c:v>
                </c:pt>
                <c:pt idx="34">
                  <c:v>0.00074251676522987</c:v>
                </c:pt>
                <c:pt idx="35">
                  <c:v>0.000607921310369677</c:v>
                </c:pt>
                <c:pt idx="36">
                  <c:v>0.00049772387225112</c:v>
                </c:pt>
                <c:pt idx="37">
                  <c:v>0.000407501840753049</c:v>
                </c:pt>
                <c:pt idx="38">
                  <c:v>0.000333634288960407</c:v>
                </c:pt>
                <c:pt idx="39">
                  <c:v>0.000273156652653191</c:v>
                </c:pt>
                <c:pt idx="40">
                  <c:v>0.000223641751935008</c:v>
                </c:pt>
                <c:pt idx="41">
                  <c:v>0.000183102379981428</c:v>
                </c:pt>
                <c:pt idx="42">
                  <c:v>0.000149911549452566</c:v>
                </c:pt>
                <c:pt idx="43">
                  <c:v>0.000122737195778386</c:v>
                </c:pt>
                <c:pt idx="44">
                  <c:v>0.000100488716730318</c:v>
                </c:pt>
                <c:pt idx="45">
                  <c:v>8.2273202724453e-05</c:v>
                </c:pt>
                <c:pt idx="46">
                  <c:v>6.73596012247289e-05</c:v>
                </c:pt>
                <c:pt idx="47">
                  <c:v>5.51493770377549e-05</c:v>
                </c:pt>
                <c:pt idx="48">
                  <c:v>4.51524909939027e-05</c:v>
                </c:pt>
                <c:pt idx="49">
                  <c:v>3.69677329547846e-05</c:v>
                </c:pt>
                <c:pt idx="50">
                  <c:v>3.02666198416566e-05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Uр,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'Sheet1'!$AW$70:$AW$120</c:f>
              <c:numCache>
                <c:formatCode>General</c:formatCode>
                <c:ptCount val="51"/>
                <c:pt idx="0">
                  <c:v>0</c:v>
                </c:pt>
                <c:pt idx="1">
                  <c:v>1.5e-05</c:v>
                </c:pt>
                <c:pt idx="2">
                  <c:v>3e-05</c:v>
                </c:pt>
                <c:pt idx="3">
                  <c:v>4.5e-05</c:v>
                </c:pt>
                <c:pt idx="4">
                  <c:v>6e-05</c:v>
                </c:pt>
                <c:pt idx="5">
                  <c:v>7.5e-05</c:v>
                </c:pt>
                <c:pt idx="6">
                  <c:v>9e-05</c:v>
                </c:pt>
                <c:pt idx="7">
                  <c:v>0.000105</c:v>
                </c:pt>
                <c:pt idx="8">
                  <c:v>0.00012</c:v>
                </c:pt>
                <c:pt idx="9">
                  <c:v>0.000135</c:v>
                </c:pt>
                <c:pt idx="10">
                  <c:v>0.00015</c:v>
                </c:pt>
                <c:pt idx="11">
                  <c:v>0.000165</c:v>
                </c:pt>
                <c:pt idx="12">
                  <c:v>0.00018</c:v>
                </c:pt>
                <c:pt idx="13">
                  <c:v>0.000195</c:v>
                </c:pt>
                <c:pt idx="14">
                  <c:v>0.00021</c:v>
                </c:pt>
                <c:pt idx="15">
                  <c:v>0.000225</c:v>
                </c:pt>
                <c:pt idx="16">
                  <c:v>0.00024</c:v>
                </c:pt>
                <c:pt idx="17">
                  <c:v>0.000255</c:v>
                </c:pt>
                <c:pt idx="18">
                  <c:v>0.00027</c:v>
                </c:pt>
                <c:pt idx="19">
                  <c:v>0.000285</c:v>
                </c:pt>
                <c:pt idx="20">
                  <c:v>0.0003</c:v>
                </c:pt>
                <c:pt idx="21">
                  <c:v>0.000315</c:v>
                </c:pt>
                <c:pt idx="22">
                  <c:v>0.00033</c:v>
                </c:pt>
                <c:pt idx="23">
                  <c:v>0.000345</c:v>
                </c:pt>
                <c:pt idx="24">
                  <c:v>0.00036</c:v>
                </c:pt>
                <c:pt idx="25">
                  <c:v>0.000375</c:v>
                </c:pt>
                <c:pt idx="26">
                  <c:v>0.00039</c:v>
                </c:pt>
                <c:pt idx="27">
                  <c:v>0.000405</c:v>
                </c:pt>
                <c:pt idx="28">
                  <c:v>0.00042</c:v>
                </c:pt>
                <c:pt idx="29">
                  <c:v>0.000435</c:v>
                </c:pt>
                <c:pt idx="30">
                  <c:v>0.00045</c:v>
                </c:pt>
                <c:pt idx="31">
                  <c:v>0.000465</c:v>
                </c:pt>
                <c:pt idx="32">
                  <c:v>0.00048</c:v>
                </c:pt>
                <c:pt idx="33">
                  <c:v>0.000495</c:v>
                </c:pt>
                <c:pt idx="34">
                  <c:v>0.00051</c:v>
                </c:pt>
                <c:pt idx="35">
                  <c:v>0.000525</c:v>
                </c:pt>
                <c:pt idx="36">
                  <c:v>0.00054</c:v>
                </c:pt>
                <c:pt idx="37">
                  <c:v>0.000555</c:v>
                </c:pt>
                <c:pt idx="38">
                  <c:v>0.00057</c:v>
                </c:pt>
                <c:pt idx="39">
                  <c:v>0.000585</c:v>
                </c:pt>
                <c:pt idx="40">
                  <c:v>0.0006</c:v>
                </c:pt>
                <c:pt idx="41">
                  <c:v>0.000615</c:v>
                </c:pt>
                <c:pt idx="42">
                  <c:v>0.00063</c:v>
                </c:pt>
                <c:pt idx="43">
                  <c:v>0.000645</c:v>
                </c:pt>
                <c:pt idx="44">
                  <c:v>0.00066</c:v>
                </c:pt>
                <c:pt idx="45">
                  <c:v>0.000675</c:v>
                </c:pt>
                <c:pt idx="46">
                  <c:v>0.00069</c:v>
                </c:pt>
                <c:pt idx="47">
                  <c:v>0.000705</c:v>
                </c:pt>
                <c:pt idx="48">
                  <c:v>0.00072</c:v>
                </c:pt>
                <c:pt idx="49">
                  <c:v>0.000735</c:v>
                </c:pt>
                <c:pt idx="50">
                  <c:v>0.00075</c:v>
                </c:pt>
              </c:numCache>
            </c:numRef>
          </c:xVal>
          <c:yVal>
            <c:numRef>
              <c:f>'Sheet1'!$AY$70:$AY$120</c:f>
              <c:numCache>
                <c:formatCode>General</c:formatCode>
                <c:ptCount val="51"/>
                <c:pt idx="0">
                  <c:v>-8</c:v>
                </c:pt>
                <c:pt idx="1">
                  <c:v>-6.54984602462385</c:v>
                </c:pt>
                <c:pt idx="2">
                  <c:v>-5.36256036828511</c:v>
                </c:pt>
                <c:pt idx="3">
                  <c:v>-4.39049308875221</c:v>
                </c:pt>
                <c:pt idx="4">
                  <c:v>-3.59463171293777</c:v>
                </c:pt>
                <c:pt idx="5">
                  <c:v>-2.94303552937154</c:v>
                </c:pt>
                <c:pt idx="6">
                  <c:v>-2.40955369529762</c:v>
                </c:pt>
                <c:pt idx="7">
                  <c:v>-1.97277571153285</c:v>
                </c:pt>
                <c:pt idx="8">
                  <c:v>-1.61517214395724</c:v>
                </c:pt>
                <c:pt idx="9">
                  <c:v>-1.32239110577269</c:v>
                </c:pt>
                <c:pt idx="10">
                  <c:v>-1.0826822658929</c:v>
                </c:pt>
                <c:pt idx="11">
                  <c:v>-0.886425266898671</c:v>
                </c:pt>
                <c:pt idx="12">
                  <c:v>-0.7257436263153</c:v>
                </c:pt>
                <c:pt idx="13">
                  <c:v>-0.594188625714671</c:v>
                </c:pt>
                <c:pt idx="14">
                  <c:v>-0.486480501001744</c:v>
                </c:pt>
                <c:pt idx="15">
                  <c:v>-0.398296546942911</c:v>
                </c:pt>
                <c:pt idx="16">
                  <c:v>-0.32609763182693</c:v>
                </c:pt>
                <c:pt idx="17">
                  <c:v>-0.266986159682609</c:v>
                </c:pt>
                <c:pt idx="18">
                  <c:v>-0.218589779578341</c:v>
                </c:pt>
                <c:pt idx="19">
                  <c:v>-0.178966174849325</c:v>
                </c:pt>
                <c:pt idx="20">
                  <c:v>-0.146525111109873</c:v>
                </c:pt>
                <c:pt idx="21">
                  <c:v>-0.119964614563822</c:v>
                </c:pt>
                <c:pt idx="22">
                  <c:v>-0.0982187192245475</c:v>
                </c:pt>
                <c:pt idx="23">
                  <c:v>-0.0804146859570687</c:v>
                </c:pt>
                <c:pt idx="24">
                  <c:v>-0.0658379763921603</c:v>
                </c:pt>
                <c:pt idx="25">
                  <c:v>-0.0539035759926837</c:v>
                </c:pt>
                <c:pt idx="26">
                  <c:v>-0.0441325153660862</c:v>
                </c:pt>
                <c:pt idx="27">
                  <c:v>-0.0361326475409014</c:v>
                </c:pt>
                <c:pt idx="28">
                  <c:v>-0.0295829097318635</c:v>
                </c:pt>
                <c:pt idx="29">
                  <c:v>-0.0242204379630065</c:v>
                </c:pt>
                <c:pt idx="30">
                  <c:v>-0.0198300174133309</c:v>
                </c:pt>
                <c:pt idx="31">
                  <c:v>-0.0162354450903659</c:v>
                </c:pt>
                <c:pt idx="32">
                  <c:v>-0.0132924581853915</c:v>
                </c:pt>
                <c:pt idx="33">
                  <c:v>-0.0108829443003831</c:v>
                </c:pt>
                <c:pt idx="34">
                  <c:v>-0.00891020118275843</c:v>
                </c:pt>
                <c:pt idx="35">
                  <c:v>-0.00729505572443613</c:v>
                </c:pt>
                <c:pt idx="36">
                  <c:v>-0.00597268646701344</c:v>
                </c:pt>
                <c:pt idx="37">
                  <c:v>-0.00489002208903658</c:v>
                </c:pt>
                <c:pt idx="38">
                  <c:v>-0.00400361146752489</c:v>
                </c:pt>
                <c:pt idx="39">
                  <c:v>-0.0032778798318383</c:v>
                </c:pt>
                <c:pt idx="40">
                  <c:v>-0.00268370102322009</c:v>
                </c:pt>
                <c:pt idx="41">
                  <c:v>-0.00219722855977714</c:v>
                </c:pt>
                <c:pt idx="42">
                  <c:v>-0.00179893859343079</c:v>
                </c:pt>
                <c:pt idx="43">
                  <c:v>-0.00147284634934063</c:v>
                </c:pt>
                <c:pt idx="44">
                  <c:v>-0.00120586460076381</c:v>
                </c:pt>
                <c:pt idx="45">
                  <c:v>-0.000987278432693436</c:v>
                </c:pt>
                <c:pt idx="46">
                  <c:v>-0.000808315214696747</c:v>
                </c:pt>
                <c:pt idx="47">
                  <c:v>-0.000661792524453059</c:v>
                </c:pt>
                <c:pt idx="48">
                  <c:v>-0.000541829891926832</c:v>
                </c:pt>
                <c:pt idx="49">
                  <c:v>-0.000443612795457416</c:v>
                </c:pt>
                <c:pt idx="50">
                  <c:v>-0.000363199438099879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Iр,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Uр,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Iз(t) — три режима на одном графике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базовый (L, r)</c:v>
          </c:tx>
          <c:spPr>
            <a:ln w="25000">
              <a:solidFill>
                <a:srgbClr val="C00000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'Sheet1'!$B$10:$B$60</c:f>
              <c:numCache>
                <c:formatCode>General</c:formatCode>
                <c:ptCount val="51"/>
                <c:pt idx="0">
                  <c:v>0</c:v>
                </c:pt>
                <c:pt idx="1">
                  <c:v>0.349750524699881</c:v>
                </c:pt>
                <c:pt idx="2">
                  <c:v>0.56188494118094</c:v>
                </c:pt>
                <c:pt idx="3">
                  <c:v>0.690550968756951</c:v>
                </c:pt>
                <c:pt idx="4">
                  <c:v>0.768590859345233</c:v>
                </c:pt>
                <c:pt idx="5">
                  <c:v>0.815924445667646</c:v>
                </c:pt>
                <c:pt idx="6">
                  <c:v>0.844633717006343</c:v>
                </c:pt>
                <c:pt idx="7">
                  <c:v>0.862046770291272</c:v>
                </c:pt>
                <c:pt idx="8">
                  <c:v>0.872608320987792</c:v>
                </c:pt>
                <c:pt idx="9">
                  <c:v>0.87901422529934</c:v>
                </c:pt>
                <c:pt idx="10">
                  <c:v>0.88289960266748</c:v>
                </c:pt>
                <c:pt idx="11">
                  <c:v>0.88525620316581</c:v>
                </c:pt>
                <c:pt idx="12">
                  <c:v>0.886685553620741</c:v>
                </c:pt>
                <c:pt idx="13">
                  <c:v>0.887552498495131</c:v>
                </c:pt>
                <c:pt idx="14">
                  <c:v>0.888078327141729</c:v>
                </c:pt>
                <c:pt idx="15">
                  <c:v>0.888397258337646</c:v>
                </c:pt>
                <c:pt idx="16">
                  <c:v>0.888590699886309</c:v>
                </c:pt>
                <c:pt idx="17">
                  <c:v>0.888708028116435</c:v>
                </c:pt>
                <c:pt idx="18">
                  <c:v>0.888779191285256</c:v>
                </c:pt>
                <c:pt idx="19">
                  <c:v>0.888822353928989</c:v>
                </c:pt>
                <c:pt idx="20">
                  <c:v>0.888848533395767</c:v>
                </c:pt>
                <c:pt idx="21">
                  <c:v>0.888864412045022</c:v>
                </c:pt>
                <c:pt idx="22">
                  <c:v>0.888874042932631</c:v>
                </c:pt>
                <c:pt idx="23">
                  <c:v>0.888879884361246</c:v>
                </c:pt>
                <c:pt idx="24">
                  <c:v>0.888883427366797</c:v>
                </c:pt>
                <c:pt idx="25">
                  <c:v>0.888885576308291</c:v>
                </c:pt>
                <c:pt idx="26">
                  <c:v>0.888886879707194</c:v>
                </c:pt>
                <c:pt idx="27">
                  <c:v>0.88888767025859</c:v>
                </c:pt>
                <c:pt idx="28">
                  <c:v>0.88888814975225</c:v>
                </c:pt>
                <c:pt idx="29">
                  <c:v>0.888888440579855</c:v>
                </c:pt>
                <c:pt idx="30">
                  <c:v>0.888888616975715</c:v>
                </c:pt>
                <c:pt idx="31">
                  <c:v>0.888888723965212</c:v>
                </c:pt>
                <c:pt idx="32">
                  <c:v>0.888888788857622</c:v>
                </c:pt>
                <c:pt idx="33">
                  <c:v>0.888888828216859</c:v>
                </c:pt>
                <c:pt idx="34">
                  <c:v>0.888888852089442</c:v>
                </c:pt>
                <c:pt idx="35">
                  <c:v>0.888888866568896</c:v>
                </c:pt>
                <c:pt idx="36">
                  <c:v>0.888888875351129</c:v>
                </c:pt>
                <c:pt idx="37">
                  <c:v>0.888888880677822</c:v>
                </c:pt>
                <c:pt idx="38">
                  <c:v>0.888888883908625</c:v>
                </c:pt>
                <c:pt idx="39">
                  <c:v>0.888888885868206</c:v>
                </c:pt>
                <c:pt idx="40">
                  <c:v>0.888888887056752</c:v>
                </c:pt>
                <c:pt idx="41">
                  <c:v>0.888888887777642</c:v>
                </c:pt>
                <c:pt idx="42">
                  <c:v>0.888888888214884</c:v>
                </c:pt>
                <c:pt idx="43">
                  <c:v>0.888888888480084</c:v>
                </c:pt>
                <c:pt idx="44">
                  <c:v>0.888888888640936</c:v>
                </c:pt>
                <c:pt idx="45">
                  <c:v>0.888888888738498</c:v>
                </c:pt>
                <c:pt idx="46">
                  <c:v>0.888888888797672</c:v>
                </c:pt>
                <c:pt idx="47">
                  <c:v>0.888888888833563</c:v>
                </c:pt>
                <c:pt idx="48">
                  <c:v>0.888888888855332</c:v>
                </c:pt>
                <c:pt idx="49">
                  <c:v>0.888888888868536</c:v>
                </c:pt>
                <c:pt idx="50">
                  <c:v>0.888888888876544</c:v>
                </c:pt>
              </c:numCache>
            </c:numRef>
          </c:yVal>
          <c:smooth val="1"/>
        </c:ser>
        <c:ser>
          <c:idx val="1"/>
          <c:order val="1"/>
          <c:tx>
            <c:v>L меньше в 3 раза</c:v>
          </c:tx>
          <c:spPr>
            <a:ln w="25000">
              <a:solidFill>
                <a:srgbClr val="ED7D31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'Sheet1'!$U$10:$U$60</c:f>
              <c:numCache>
                <c:formatCode>General</c:formatCode>
                <c:ptCount val="51"/>
                <c:pt idx="0">
                  <c:v>0</c:v>
                </c:pt>
                <c:pt idx="1">
                  <c:v>0.690550968756951</c:v>
                </c:pt>
                <c:pt idx="2">
                  <c:v>0.844633717006343</c:v>
                </c:pt>
                <c:pt idx="3">
                  <c:v>0.87901422529934</c:v>
                </c:pt>
                <c:pt idx="4">
                  <c:v>0.886685553620741</c:v>
                </c:pt>
                <c:pt idx="5">
                  <c:v>0.888397258337646</c:v>
                </c:pt>
                <c:pt idx="6">
                  <c:v>0.888779191285256</c:v>
                </c:pt>
                <c:pt idx="7">
                  <c:v>0.888864412045022</c:v>
                </c:pt>
                <c:pt idx="8">
                  <c:v>0.888883427366797</c:v>
                </c:pt>
                <c:pt idx="9">
                  <c:v>0.88888767025859</c:v>
                </c:pt>
                <c:pt idx="10">
                  <c:v>0.888888616975715</c:v>
                </c:pt>
                <c:pt idx="11">
                  <c:v>0.888888828216859</c:v>
                </c:pt>
                <c:pt idx="12">
                  <c:v>0.888888875351129</c:v>
                </c:pt>
                <c:pt idx="13">
                  <c:v>0.888888885868206</c:v>
                </c:pt>
                <c:pt idx="14">
                  <c:v>0.888888888214884</c:v>
                </c:pt>
                <c:pt idx="15">
                  <c:v>0.888888888738498</c:v>
                </c:pt>
                <c:pt idx="16">
                  <c:v>0.888888888855332</c:v>
                </c:pt>
                <c:pt idx="17">
                  <c:v>0.888888888881401</c:v>
                </c:pt>
                <c:pt idx="18">
                  <c:v>0.888888888887218</c:v>
                </c:pt>
                <c:pt idx="19">
                  <c:v>0.888888888888516</c:v>
                </c:pt>
                <c:pt idx="20">
                  <c:v>0.888888888888806</c:v>
                </c:pt>
                <c:pt idx="21">
                  <c:v>0.88888888888887</c:v>
                </c:pt>
                <c:pt idx="22">
                  <c:v>0.888888888888885</c:v>
                </c:pt>
                <c:pt idx="23">
                  <c:v>0.888888888888888</c:v>
                </c:pt>
                <c:pt idx="24">
                  <c:v>0.888888888888889</c:v>
                </c:pt>
                <c:pt idx="25">
                  <c:v>0.888888888888889</c:v>
                </c:pt>
                <c:pt idx="26">
                  <c:v>0.888888888888889</c:v>
                </c:pt>
                <c:pt idx="27">
                  <c:v>0.888888888888889</c:v>
                </c:pt>
                <c:pt idx="28">
                  <c:v>0.888888888888889</c:v>
                </c:pt>
                <c:pt idx="29">
                  <c:v>0.888888888888889</c:v>
                </c:pt>
                <c:pt idx="30">
                  <c:v>0.888888888888889</c:v>
                </c:pt>
                <c:pt idx="31">
                  <c:v>0.888888888888889</c:v>
                </c:pt>
                <c:pt idx="32">
                  <c:v>0.888888888888889</c:v>
                </c:pt>
                <c:pt idx="33">
                  <c:v>0.888888888888889</c:v>
                </c:pt>
                <c:pt idx="34">
                  <c:v>0.888888888888889</c:v>
                </c:pt>
                <c:pt idx="35">
                  <c:v>0.888888888888889</c:v>
                </c:pt>
                <c:pt idx="36">
                  <c:v>0.888888888888889</c:v>
                </c:pt>
                <c:pt idx="37">
                  <c:v>0.888888888888889</c:v>
                </c:pt>
                <c:pt idx="38">
                  <c:v>0.888888888888889</c:v>
                </c:pt>
                <c:pt idx="39">
                  <c:v>0.888888888888889</c:v>
                </c:pt>
                <c:pt idx="40">
                  <c:v>0.888888888888889</c:v>
                </c:pt>
                <c:pt idx="41">
                  <c:v>0.888888888888889</c:v>
                </c:pt>
                <c:pt idx="42">
                  <c:v>0.888888888888889</c:v>
                </c:pt>
                <c:pt idx="43">
                  <c:v>0.888888888888889</c:v>
                </c:pt>
                <c:pt idx="44">
                  <c:v>0.888888888888889</c:v>
                </c:pt>
                <c:pt idx="45">
                  <c:v>0.888888888888889</c:v>
                </c:pt>
                <c:pt idx="46">
                  <c:v>0.888888888888889</c:v>
                </c:pt>
                <c:pt idx="47">
                  <c:v>0.888888888888889</c:v>
                </c:pt>
                <c:pt idx="48">
                  <c:v>0.888888888888889</c:v>
                </c:pt>
                <c:pt idx="49">
                  <c:v>0.888888888888889</c:v>
                </c:pt>
                <c:pt idx="50">
                  <c:v>0.888888888888889</c:v>
                </c:pt>
              </c:numCache>
            </c:numRef>
          </c:yVal>
          <c:smooth val="1"/>
        </c:ser>
        <c:ser>
          <c:idx val="2"/>
          <c:order val="2"/>
          <c:tx>
            <c:v>r меньше в 2 раза</c:v>
          </c:tx>
          <c:spPr>
            <a:ln w="25000">
              <a:solidFill>
                <a:srgbClr val="2E75B6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'Sheet1'!$AP$10:$AP$60</c:f>
              <c:numCache>
                <c:formatCode>General</c:formatCode>
                <c:ptCount val="51"/>
                <c:pt idx="0">
                  <c:v>0</c:v>
                </c:pt>
                <c:pt idx="1">
                  <c:v>0.393243052317502</c:v>
                </c:pt>
                <c:pt idx="2">
                  <c:v>0.699501049399763</c:v>
                </c:pt>
                <c:pt idx="3">
                  <c:v>0.938015017349307</c:v>
                </c:pt>
                <c:pt idx="4">
                  <c:v>1.12376988236188</c:v>
                </c:pt>
                <c:pt idx="5">
                  <c:v>1.268435916693</c:v>
                </c:pt>
                <c:pt idx="6">
                  <c:v>1.3811019375139</c:v>
                </c:pt>
                <c:pt idx="7">
                  <c:v>1.46884632275476</c:v>
                </c:pt>
                <c:pt idx="8">
                  <c:v>1.53718171869047</c:v>
                </c:pt>
                <c:pt idx="9">
                  <c:v>1.59040137855669</c:v>
                </c:pt>
                <c:pt idx="10">
                  <c:v>1.63184889133529</c:v>
                </c:pt>
                <c:pt idx="11">
                  <c:v>1.66412824674363</c:v>
                </c:pt>
                <c:pt idx="12">
                  <c:v>1.68926743401269</c:v>
                </c:pt>
                <c:pt idx="13">
                  <c:v>1.70884585274361</c:v>
                </c:pt>
                <c:pt idx="14">
                  <c:v>1.72409354058254</c:v>
                </c:pt>
                <c:pt idx="15">
                  <c:v>1.73596845181154</c:v>
                </c:pt>
                <c:pt idx="16">
                  <c:v>1.74521664197558</c:v>
                </c:pt>
                <c:pt idx="17">
                  <c:v>1.75241913971733</c:v>
                </c:pt>
                <c:pt idx="18">
                  <c:v>1.75802845059868</c:v>
                </c:pt>
                <c:pt idx="19">
                  <c:v>1.76239698630556</c:v>
                </c:pt>
                <c:pt idx="20">
                  <c:v>1.76579920533496</c:v>
                </c:pt>
                <c:pt idx="21">
                  <c:v>1.76844885617923</c:v>
                </c:pt>
                <c:pt idx="22">
                  <c:v>1.77051240633162</c:v>
                </c:pt>
                <c:pt idx="23">
                  <c:v>1.7721195008062</c:v>
                </c:pt>
                <c:pt idx="24">
                  <c:v>1.77337110724148</c:v>
                </c:pt>
                <c:pt idx="25">
                  <c:v>1.77434585931337</c:v>
                </c:pt>
                <c:pt idx="26">
                  <c:v>1.77510499699026</c:v>
                </c:pt>
                <c:pt idx="27">
                  <c:v>1.77569621400748</c:v>
                </c:pt>
                <c:pt idx="28">
                  <c:v>1.77615665428346</c:v>
                </c:pt>
                <c:pt idx="29">
                  <c:v>1.77651524553095</c:v>
                </c:pt>
                <c:pt idx="30">
                  <c:v>1.77679451667529</c:v>
                </c:pt>
                <c:pt idx="31">
                  <c:v>1.7770120132612</c:v>
                </c:pt>
                <c:pt idx="32">
                  <c:v>1.77718139977262</c:v>
                </c:pt>
                <c:pt idx="33">
                  <c:v>1.77731331812035</c:v>
                </c:pt>
                <c:pt idx="34">
                  <c:v>1.77741605623287</c:v>
                </c:pt>
                <c:pt idx="35">
                  <c:v>1.77749606875535</c:v>
                </c:pt>
                <c:pt idx="36">
                  <c:v>1.77755838257051</c:v>
                </c:pt>
                <c:pt idx="37">
                  <c:v>1.77760691261856</c:v>
                </c:pt>
                <c:pt idx="38">
                  <c:v>1.77764470785798</c:v>
                </c:pt>
                <c:pt idx="39">
                  <c:v>1.77767414282003</c:v>
                </c:pt>
                <c:pt idx="40">
                  <c:v>1.77769706679153</c:v>
                </c:pt>
                <c:pt idx="41">
                  <c:v>1.77771491999849</c:v>
                </c:pt>
                <c:pt idx="42">
                  <c:v>1.77772882409004</c:v>
                </c:pt>
                <c:pt idx="43">
                  <c:v>1.77773965260744</c:v>
                </c:pt>
                <c:pt idx="44">
                  <c:v>1.77774808586526</c:v>
                </c:pt>
                <c:pt idx="45">
                  <c:v>1.77775465369306</c:v>
                </c:pt>
                <c:pt idx="46">
                  <c:v>1.77775976872249</c:v>
                </c:pt>
                <c:pt idx="47">
                  <c:v>1.77776375231142</c:v>
                </c:pt>
                <c:pt idx="48">
                  <c:v>1.77776685473359</c:v>
                </c:pt>
                <c:pt idx="49">
                  <c:v>1.77776927090241</c:v>
                </c:pt>
                <c:pt idx="50">
                  <c:v>1.77777115261658</c:v>
                </c:pt>
              </c:numCache>
            </c:numRef>
          </c:yVal>
          <c:smooth val="1"/>
        </c:ser>
        <c:axId val="1"/>
        <c:axId val="2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Iз,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Заряд, базовый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Iз, А</c:v>
          </c:tx>
          <c:spPr>
            <a:ln w="25000">
              <a:solidFill>
                <a:srgbClr val="ED7D31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'Sheet1'!$B$10:$B$60</c:f>
              <c:numCache>
                <c:formatCode>General</c:formatCode>
                <c:ptCount val="51"/>
                <c:pt idx="0">
                  <c:v>0</c:v>
                </c:pt>
                <c:pt idx="1">
                  <c:v>0.349750524699881</c:v>
                </c:pt>
                <c:pt idx="2">
                  <c:v>0.56188494118094</c:v>
                </c:pt>
                <c:pt idx="3">
                  <c:v>0.690550968756951</c:v>
                </c:pt>
                <c:pt idx="4">
                  <c:v>0.768590859345233</c:v>
                </c:pt>
                <c:pt idx="5">
                  <c:v>0.815924445667646</c:v>
                </c:pt>
                <c:pt idx="6">
                  <c:v>0.844633717006343</c:v>
                </c:pt>
                <c:pt idx="7">
                  <c:v>0.862046770291272</c:v>
                </c:pt>
                <c:pt idx="8">
                  <c:v>0.872608320987792</c:v>
                </c:pt>
                <c:pt idx="9">
                  <c:v>0.87901422529934</c:v>
                </c:pt>
                <c:pt idx="10">
                  <c:v>0.88289960266748</c:v>
                </c:pt>
                <c:pt idx="11">
                  <c:v>0.88525620316581</c:v>
                </c:pt>
                <c:pt idx="12">
                  <c:v>0.886685553620741</c:v>
                </c:pt>
                <c:pt idx="13">
                  <c:v>0.887552498495131</c:v>
                </c:pt>
                <c:pt idx="14">
                  <c:v>0.888078327141729</c:v>
                </c:pt>
                <c:pt idx="15">
                  <c:v>0.888397258337646</c:v>
                </c:pt>
                <c:pt idx="16">
                  <c:v>0.888590699886309</c:v>
                </c:pt>
                <c:pt idx="17">
                  <c:v>0.888708028116435</c:v>
                </c:pt>
                <c:pt idx="18">
                  <c:v>0.888779191285256</c:v>
                </c:pt>
                <c:pt idx="19">
                  <c:v>0.888822353928989</c:v>
                </c:pt>
                <c:pt idx="20">
                  <c:v>0.888848533395767</c:v>
                </c:pt>
                <c:pt idx="21">
                  <c:v>0.888864412045022</c:v>
                </c:pt>
                <c:pt idx="22">
                  <c:v>0.888874042932631</c:v>
                </c:pt>
                <c:pt idx="23">
                  <c:v>0.888879884361246</c:v>
                </c:pt>
                <c:pt idx="24">
                  <c:v>0.888883427366797</c:v>
                </c:pt>
                <c:pt idx="25">
                  <c:v>0.888885576308291</c:v>
                </c:pt>
                <c:pt idx="26">
                  <c:v>0.888886879707194</c:v>
                </c:pt>
                <c:pt idx="27">
                  <c:v>0.88888767025859</c:v>
                </c:pt>
                <c:pt idx="28">
                  <c:v>0.88888814975225</c:v>
                </c:pt>
                <c:pt idx="29">
                  <c:v>0.888888440579855</c:v>
                </c:pt>
                <c:pt idx="30">
                  <c:v>0.888888616975715</c:v>
                </c:pt>
                <c:pt idx="31">
                  <c:v>0.888888723965212</c:v>
                </c:pt>
                <c:pt idx="32">
                  <c:v>0.888888788857622</c:v>
                </c:pt>
                <c:pt idx="33">
                  <c:v>0.888888828216859</c:v>
                </c:pt>
                <c:pt idx="34">
                  <c:v>0.888888852089442</c:v>
                </c:pt>
                <c:pt idx="35">
                  <c:v>0.888888866568896</c:v>
                </c:pt>
                <c:pt idx="36">
                  <c:v>0.888888875351129</c:v>
                </c:pt>
                <c:pt idx="37">
                  <c:v>0.888888880677822</c:v>
                </c:pt>
                <c:pt idx="38">
                  <c:v>0.888888883908625</c:v>
                </c:pt>
                <c:pt idx="39">
                  <c:v>0.888888885868206</c:v>
                </c:pt>
                <c:pt idx="40">
                  <c:v>0.888888887056752</c:v>
                </c:pt>
                <c:pt idx="41">
                  <c:v>0.888888887777642</c:v>
                </c:pt>
                <c:pt idx="42">
                  <c:v>0.888888888214884</c:v>
                </c:pt>
                <c:pt idx="43">
                  <c:v>0.888888888480084</c:v>
                </c:pt>
                <c:pt idx="44">
                  <c:v>0.888888888640936</c:v>
                </c:pt>
                <c:pt idx="45">
                  <c:v>0.888888888738498</c:v>
                </c:pt>
                <c:pt idx="46">
                  <c:v>0.888888888797672</c:v>
                </c:pt>
                <c:pt idx="47">
                  <c:v>0.888888888833563</c:v>
                </c:pt>
                <c:pt idx="48">
                  <c:v>0.888888888855332</c:v>
                </c:pt>
                <c:pt idx="49">
                  <c:v>0.888888888868536</c:v>
                </c:pt>
                <c:pt idx="50">
                  <c:v>0.888888888876544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Uз,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'Sheet1'!$C$10:$C$60</c:f>
              <c:numCache>
                <c:formatCode>General</c:formatCode>
                <c:ptCount val="51"/>
                <c:pt idx="0">
                  <c:v>8</c:v>
                </c:pt>
                <c:pt idx="1">
                  <c:v>4.85224527770107</c:v>
                </c:pt>
                <c:pt idx="2">
                  <c:v>2.94303552937154</c:v>
                </c:pt>
                <c:pt idx="3">
                  <c:v>1.78504128118744</c:v>
                </c:pt>
                <c:pt idx="4">
                  <c:v>1.0826822658929</c:v>
                </c:pt>
                <c:pt idx="5">
                  <c:v>0.65667998899119</c:v>
                </c:pt>
                <c:pt idx="6">
                  <c:v>0.398296546942911</c:v>
                </c:pt>
                <c:pt idx="7">
                  <c:v>0.241579067378548</c:v>
                </c:pt>
                <c:pt idx="8">
                  <c:v>0.146525111109873</c:v>
                </c:pt>
                <c:pt idx="9">
                  <c:v>0.0888719723059384</c:v>
                </c:pt>
                <c:pt idx="10">
                  <c:v>0.0539035759926837</c:v>
                </c:pt>
                <c:pt idx="11">
                  <c:v>0.0326941715077125</c:v>
                </c:pt>
                <c:pt idx="12">
                  <c:v>0.0198300174133309</c:v>
                </c:pt>
                <c:pt idx="13">
                  <c:v>0.0120275135438206</c:v>
                </c:pt>
                <c:pt idx="14">
                  <c:v>0.00729505572443613</c:v>
                </c:pt>
                <c:pt idx="15">
                  <c:v>0.00442467496118267</c:v>
                </c:pt>
                <c:pt idx="16">
                  <c:v>0.00268370102322009</c:v>
                </c:pt>
                <c:pt idx="17">
                  <c:v>0.00162774695208515</c:v>
                </c:pt>
                <c:pt idx="18">
                  <c:v>0.000987278432693435</c:v>
                </c:pt>
                <c:pt idx="19">
                  <c:v>0.000598814639101605</c:v>
                </c:pt>
                <c:pt idx="20">
                  <c:v>0.000363199438099878</c:v>
                </c:pt>
                <c:pt idx="21">
                  <c:v>0.000220291594797977</c:v>
                </c:pt>
                <c:pt idx="22">
                  <c:v>0.000133613606321965</c:v>
                </c:pt>
                <c:pt idx="23">
                  <c:v>8.10407487890457e-05</c:v>
                </c:pt>
                <c:pt idx="24">
                  <c:v>4.91536988266256e-05</c:v>
                </c:pt>
                <c:pt idx="25">
                  <c:v>2.98132253766294e-05</c:v>
                </c:pt>
                <c:pt idx="26">
                  <c:v>1.80826352558484e-05</c:v>
                </c:pt>
                <c:pt idx="27">
                  <c:v>1.09676726910727e-05</c:v>
                </c:pt>
                <c:pt idx="28">
                  <c:v>6.65222975282854e-06</c:v>
                </c:pt>
                <c:pt idx="29">
                  <c:v>4.0347813005431e-06</c:v>
                </c:pt>
                <c:pt idx="30">
                  <c:v>2.44721856401461e-06</c:v>
                </c:pt>
                <c:pt idx="31">
                  <c:v>1.48431309009278e-06</c:v>
                </c:pt>
                <c:pt idx="32">
                  <c:v>9.0028139775407e-07</c:v>
                </c:pt>
                <c:pt idx="33">
                  <c:v>5.4604827010679e-07</c:v>
                </c:pt>
                <c:pt idx="34">
                  <c:v>3.31195017502813e-07</c:v>
                </c:pt>
                <c:pt idx="35">
                  <c:v>2.00879932459519e-07</c:v>
                </c:pt>
                <c:pt idx="36">
                  <c:v>1.21839837957701e-07</c:v>
                </c:pt>
                <c:pt idx="37">
                  <c:v>7.38995972957645e-08</c:v>
                </c:pt>
                <c:pt idx="38">
                  <c:v>4.48223715002981e-08</c:v>
                </c:pt>
                <c:pt idx="39">
                  <c:v>2.71861425559606e-08</c:v>
                </c:pt>
                <c:pt idx="40">
                  <c:v>1.64892289795084e-08</c:v>
                </c:pt>
                <c:pt idx="41">
                  <c:v>1.00012229310939e-08</c:v>
                </c:pt>
                <c:pt idx="42">
                  <c:v>6.0660483423295e-09</c:v>
                </c:pt>
                <c:pt idx="43">
                  <c:v>3.67924430292185e-09</c:v>
                </c:pt>
                <c:pt idx="44">
                  <c:v>2.23157447429513e-09</c:v>
                </c:pt>
                <c:pt idx="45">
                  <c:v>1.3535183380921e-09</c:v>
                </c:pt>
                <c:pt idx="46">
                  <c:v>8.20950370536151e-10</c:v>
                </c:pt>
                <c:pt idx="47">
                  <c:v>4.97931569832621e-10</c:v>
                </c:pt>
                <c:pt idx="48">
                  <c:v>3.02010763542327e-10</c:v>
                </c:pt>
                <c:pt idx="49">
                  <c:v>1.83178787651644e-10</c:v>
                </c:pt>
                <c:pt idx="50">
                  <c:v>1.11103550919712e-10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Iз,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Uз,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Разряд, базовый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Iр, А</c:v>
          </c:tx>
          <c:spPr>
            <a:ln w="25000">
              <a:solidFill>
                <a:srgbClr val="548235"/>
              </a:solidFill>
              <a:prstDash val="solid"/>
            </a:ln>
          </c:spPr>
          <c:marker>
            <c:symbol val="none"/>
          </c:marker>
          <c:xVal>
            <c:numRef>
              <c:f>'Sheet1'!$I$70:$I$120</c:f>
              <c:numCache>
                <c:formatCode>General</c:formatCode>
                <c:ptCount val="51"/>
                <c:pt idx="0">
                  <c:v>0</c:v>
                </c:pt>
                <c:pt idx="1">
                  <c:v>1.5e-06</c:v>
                </c:pt>
                <c:pt idx="2">
                  <c:v>3e-06</c:v>
                </c:pt>
                <c:pt idx="3">
                  <c:v>4.5e-06</c:v>
                </c:pt>
                <c:pt idx="4">
                  <c:v>6e-06</c:v>
                </c:pt>
                <c:pt idx="5">
                  <c:v>7.5e-06</c:v>
                </c:pt>
                <c:pt idx="6">
                  <c:v>9e-06</c:v>
                </c:pt>
                <c:pt idx="7">
                  <c:v>1.05e-05</c:v>
                </c:pt>
                <c:pt idx="8">
                  <c:v>1.2e-05</c:v>
                </c:pt>
                <c:pt idx="9">
                  <c:v>1.35e-05</c:v>
                </c:pt>
                <c:pt idx="10">
                  <c:v>1.5e-05</c:v>
                </c:pt>
                <c:pt idx="11">
                  <c:v>1.65e-05</c:v>
                </c:pt>
                <c:pt idx="12">
                  <c:v>1.8e-05</c:v>
                </c:pt>
                <c:pt idx="13">
                  <c:v>1.95e-05</c:v>
                </c:pt>
                <c:pt idx="14">
                  <c:v>2.1e-05</c:v>
                </c:pt>
                <c:pt idx="15">
                  <c:v>2.25e-05</c:v>
                </c:pt>
                <c:pt idx="16">
                  <c:v>2.4e-05</c:v>
                </c:pt>
                <c:pt idx="17">
                  <c:v>2.55e-05</c:v>
                </c:pt>
                <c:pt idx="18">
                  <c:v>2.7e-05</c:v>
                </c:pt>
                <c:pt idx="19">
                  <c:v>2.85e-05</c:v>
                </c:pt>
                <c:pt idx="20">
                  <c:v>3e-05</c:v>
                </c:pt>
                <c:pt idx="21">
                  <c:v>3.15e-05</c:v>
                </c:pt>
                <c:pt idx="22">
                  <c:v>3.3e-05</c:v>
                </c:pt>
                <c:pt idx="23">
                  <c:v>3.45e-05</c:v>
                </c:pt>
                <c:pt idx="24">
                  <c:v>3.6e-05</c:v>
                </c:pt>
                <c:pt idx="25">
                  <c:v>3.75e-05</c:v>
                </c:pt>
                <c:pt idx="26">
                  <c:v>3.9e-05</c:v>
                </c:pt>
                <c:pt idx="27">
                  <c:v>4.05e-05</c:v>
                </c:pt>
                <c:pt idx="28">
                  <c:v>4.2e-05</c:v>
                </c:pt>
                <c:pt idx="29">
                  <c:v>4.35e-05</c:v>
                </c:pt>
                <c:pt idx="30">
                  <c:v>4.5e-05</c:v>
                </c:pt>
                <c:pt idx="31">
                  <c:v>4.65e-05</c:v>
                </c:pt>
                <c:pt idx="32">
                  <c:v>4.8e-05</c:v>
                </c:pt>
                <c:pt idx="33">
                  <c:v>4.95e-05</c:v>
                </c:pt>
                <c:pt idx="34">
                  <c:v>5.1e-05</c:v>
                </c:pt>
                <c:pt idx="35">
                  <c:v>5.25e-05</c:v>
                </c:pt>
                <c:pt idx="36">
                  <c:v>5.4e-05</c:v>
                </c:pt>
                <c:pt idx="37">
                  <c:v>5.55e-05</c:v>
                </c:pt>
                <c:pt idx="38">
                  <c:v>5.7e-05</c:v>
                </c:pt>
                <c:pt idx="39">
                  <c:v>5.85e-05</c:v>
                </c:pt>
                <c:pt idx="40">
                  <c:v>6e-05</c:v>
                </c:pt>
                <c:pt idx="41">
                  <c:v>6.15e-05</c:v>
                </c:pt>
                <c:pt idx="42">
                  <c:v>6.3e-05</c:v>
                </c:pt>
                <c:pt idx="43">
                  <c:v>6.45e-05</c:v>
                </c:pt>
                <c:pt idx="44">
                  <c:v>6.6e-05</c:v>
                </c:pt>
                <c:pt idx="45">
                  <c:v>6.75e-05</c:v>
                </c:pt>
                <c:pt idx="46">
                  <c:v>6.9e-05</c:v>
                </c:pt>
                <c:pt idx="47">
                  <c:v>7.05e-05</c:v>
                </c:pt>
                <c:pt idx="48">
                  <c:v>7.2e-05</c:v>
                </c:pt>
                <c:pt idx="49">
                  <c:v>7.35e-05</c:v>
                </c:pt>
                <c:pt idx="50">
                  <c:v>7.5e-05</c:v>
                </c:pt>
              </c:numCache>
            </c:numRef>
          </c:xVal>
          <c:yVal>
            <c:numRef>
              <c:f>'Sheet1'!$J$70:$J$120</c:f>
              <c:numCache>
                <c:formatCode>General</c:formatCode>
                <c:ptCount val="51"/>
                <c:pt idx="0">
                  <c:v>0.0666666666666667</c:v>
                </c:pt>
                <c:pt idx="1">
                  <c:v>0.0545820502051988</c:v>
                </c:pt>
                <c:pt idx="2">
                  <c:v>0.0446880030690426</c:v>
                </c:pt>
                <c:pt idx="3">
                  <c:v>0.0365874424062684</c:v>
                </c:pt>
                <c:pt idx="4">
                  <c:v>0.0299552642744814</c:v>
                </c:pt>
                <c:pt idx="5">
                  <c:v>0.0245252960780962</c:v>
                </c:pt>
                <c:pt idx="6">
                  <c:v>0.0200796141274801</c:v>
                </c:pt>
                <c:pt idx="7">
                  <c:v>0.0164397975961071</c:v>
                </c:pt>
                <c:pt idx="8">
                  <c:v>0.0134597678663104</c:v>
                </c:pt>
                <c:pt idx="9">
                  <c:v>0.0110199258814391</c:v>
                </c:pt>
                <c:pt idx="10">
                  <c:v>0.00902235221577418</c:v>
                </c:pt>
                <c:pt idx="11">
                  <c:v>0.00738687722415559</c:v>
                </c:pt>
                <c:pt idx="12">
                  <c:v>0.0060478635526275</c:v>
                </c:pt>
                <c:pt idx="13">
                  <c:v>0.00495157188095559</c:v>
                </c:pt>
                <c:pt idx="14">
                  <c:v>0.00405400417501453</c:v>
                </c:pt>
                <c:pt idx="15">
                  <c:v>0.00331913789119093</c:v>
                </c:pt>
                <c:pt idx="16">
                  <c:v>0.00271748026522441</c:v>
                </c:pt>
                <c:pt idx="17">
                  <c:v>0.00222488466402174</c:v>
                </c:pt>
                <c:pt idx="18">
                  <c:v>0.00182158149648617</c:v>
                </c:pt>
                <c:pt idx="19">
                  <c:v>0.00149138479041104</c:v>
                </c:pt>
                <c:pt idx="20">
                  <c:v>0.00122104259258228</c:v>
                </c:pt>
                <c:pt idx="21">
                  <c:v>0.00099970512136518</c:v>
                </c:pt>
                <c:pt idx="22">
                  <c:v>0.000818489326871229</c:v>
                </c:pt>
                <c:pt idx="23">
                  <c:v>0.000670122382975572</c:v>
                </c:pt>
                <c:pt idx="24">
                  <c:v>0.000548649803268002</c:v>
                </c:pt>
                <c:pt idx="25">
                  <c:v>0.000449196466605697</c:v>
                </c:pt>
                <c:pt idx="26">
                  <c:v>0.000367770961384051</c:v>
                </c:pt>
                <c:pt idx="27">
                  <c:v>0.000301105396174177</c:v>
                </c:pt>
                <c:pt idx="28">
                  <c:v>0.000246524247765529</c:v>
                </c:pt>
                <c:pt idx="29">
                  <c:v>0.000201836983025054</c:v>
                </c:pt>
                <c:pt idx="30">
                  <c:v>0.00016525014511109</c:v>
                </c:pt>
                <c:pt idx="31">
                  <c:v>0.000135295375753049</c:v>
                </c:pt>
                <c:pt idx="32">
                  <c:v>0.000110770484878262</c:v>
                </c:pt>
                <c:pt idx="33">
                  <c:v>9.06912025031928e-05</c:v>
                </c:pt>
                <c:pt idx="34">
                  <c:v>7.42516765229869e-05</c:v>
                </c:pt>
                <c:pt idx="35">
                  <c:v>6.07921310369678e-05</c:v>
                </c:pt>
                <c:pt idx="36">
                  <c:v>4.97723872251119e-05</c:v>
                </c:pt>
                <c:pt idx="37">
                  <c:v>4.07501840753048e-05</c:v>
                </c:pt>
                <c:pt idx="38">
                  <c:v>3.33634288960407e-05</c:v>
                </c:pt>
                <c:pt idx="39">
                  <c:v>2.73156652653191e-05</c:v>
                </c:pt>
                <c:pt idx="40">
                  <c:v>2.23641751935008e-05</c:v>
                </c:pt>
                <c:pt idx="41">
                  <c:v>1.83102379981428e-05</c:v>
                </c:pt>
                <c:pt idx="42">
                  <c:v>1.49911549452565e-05</c:v>
                </c:pt>
                <c:pt idx="43">
                  <c:v>1.22737195778386e-05</c:v>
                </c:pt>
                <c:pt idx="44">
                  <c:v>1.00488716730318e-05</c:v>
                </c:pt>
                <c:pt idx="45">
                  <c:v>8.2273202724453e-06</c:v>
                </c:pt>
                <c:pt idx="46">
                  <c:v>6.73596012247289e-06</c:v>
                </c:pt>
                <c:pt idx="47">
                  <c:v>5.51493770377548e-06</c:v>
                </c:pt>
                <c:pt idx="48">
                  <c:v>4.51524909939026e-06</c:v>
                </c:pt>
                <c:pt idx="49">
                  <c:v>3.69677329547846e-06</c:v>
                </c:pt>
                <c:pt idx="50">
                  <c:v>3.02666198416565e-06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Uр,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'Sheet1'!$I$70:$I$120</c:f>
              <c:numCache>
                <c:formatCode>General</c:formatCode>
                <c:ptCount val="51"/>
                <c:pt idx="0">
                  <c:v>0</c:v>
                </c:pt>
                <c:pt idx="1">
                  <c:v>1.5e-06</c:v>
                </c:pt>
                <c:pt idx="2">
                  <c:v>3e-06</c:v>
                </c:pt>
                <c:pt idx="3">
                  <c:v>4.5e-06</c:v>
                </c:pt>
                <c:pt idx="4">
                  <c:v>6e-06</c:v>
                </c:pt>
                <c:pt idx="5">
                  <c:v>7.5e-06</c:v>
                </c:pt>
                <c:pt idx="6">
                  <c:v>9e-06</c:v>
                </c:pt>
                <c:pt idx="7">
                  <c:v>1.05e-05</c:v>
                </c:pt>
                <c:pt idx="8">
                  <c:v>1.2e-05</c:v>
                </c:pt>
                <c:pt idx="9">
                  <c:v>1.35e-05</c:v>
                </c:pt>
                <c:pt idx="10">
                  <c:v>1.5e-05</c:v>
                </c:pt>
                <c:pt idx="11">
                  <c:v>1.65e-05</c:v>
                </c:pt>
                <c:pt idx="12">
                  <c:v>1.8e-05</c:v>
                </c:pt>
                <c:pt idx="13">
                  <c:v>1.95e-05</c:v>
                </c:pt>
                <c:pt idx="14">
                  <c:v>2.1e-05</c:v>
                </c:pt>
                <c:pt idx="15">
                  <c:v>2.25e-05</c:v>
                </c:pt>
                <c:pt idx="16">
                  <c:v>2.4e-05</c:v>
                </c:pt>
                <c:pt idx="17">
                  <c:v>2.55e-05</c:v>
                </c:pt>
                <c:pt idx="18">
                  <c:v>2.7e-05</c:v>
                </c:pt>
                <c:pt idx="19">
                  <c:v>2.85e-05</c:v>
                </c:pt>
                <c:pt idx="20">
                  <c:v>3e-05</c:v>
                </c:pt>
                <c:pt idx="21">
                  <c:v>3.15e-05</c:v>
                </c:pt>
                <c:pt idx="22">
                  <c:v>3.3e-05</c:v>
                </c:pt>
                <c:pt idx="23">
                  <c:v>3.45e-05</c:v>
                </c:pt>
                <c:pt idx="24">
                  <c:v>3.6e-05</c:v>
                </c:pt>
                <c:pt idx="25">
                  <c:v>3.75e-05</c:v>
                </c:pt>
                <c:pt idx="26">
                  <c:v>3.9e-05</c:v>
                </c:pt>
                <c:pt idx="27">
                  <c:v>4.05e-05</c:v>
                </c:pt>
                <c:pt idx="28">
                  <c:v>4.2e-05</c:v>
                </c:pt>
                <c:pt idx="29">
                  <c:v>4.35e-05</c:v>
                </c:pt>
                <c:pt idx="30">
                  <c:v>4.5e-05</c:v>
                </c:pt>
                <c:pt idx="31">
                  <c:v>4.65e-05</c:v>
                </c:pt>
                <c:pt idx="32">
                  <c:v>4.8e-05</c:v>
                </c:pt>
                <c:pt idx="33">
                  <c:v>4.95e-05</c:v>
                </c:pt>
                <c:pt idx="34">
                  <c:v>5.1e-05</c:v>
                </c:pt>
                <c:pt idx="35">
                  <c:v>5.25e-05</c:v>
                </c:pt>
                <c:pt idx="36">
                  <c:v>5.4e-05</c:v>
                </c:pt>
                <c:pt idx="37">
                  <c:v>5.55e-05</c:v>
                </c:pt>
                <c:pt idx="38">
                  <c:v>5.7e-05</c:v>
                </c:pt>
                <c:pt idx="39">
                  <c:v>5.85e-05</c:v>
                </c:pt>
                <c:pt idx="40">
                  <c:v>6e-05</c:v>
                </c:pt>
                <c:pt idx="41">
                  <c:v>6.15e-05</c:v>
                </c:pt>
                <c:pt idx="42">
                  <c:v>6.3e-05</c:v>
                </c:pt>
                <c:pt idx="43">
                  <c:v>6.45e-05</c:v>
                </c:pt>
                <c:pt idx="44">
                  <c:v>6.6e-05</c:v>
                </c:pt>
                <c:pt idx="45">
                  <c:v>6.75e-05</c:v>
                </c:pt>
                <c:pt idx="46">
                  <c:v>6.9e-05</c:v>
                </c:pt>
                <c:pt idx="47">
                  <c:v>7.05e-05</c:v>
                </c:pt>
                <c:pt idx="48">
                  <c:v>7.2e-05</c:v>
                </c:pt>
                <c:pt idx="49">
                  <c:v>7.35e-05</c:v>
                </c:pt>
                <c:pt idx="50">
                  <c:v>7.5e-05</c:v>
                </c:pt>
              </c:numCache>
            </c:numRef>
          </c:xVal>
          <c:yVal>
            <c:numRef>
              <c:f>'Sheet1'!$K$70:$K$120</c:f>
              <c:numCache>
                <c:formatCode>General</c:formatCode>
                <c:ptCount val="51"/>
                <c:pt idx="0">
                  <c:v>-8</c:v>
                </c:pt>
                <c:pt idx="1">
                  <c:v>-6.54984602462385</c:v>
                </c:pt>
                <c:pt idx="2">
                  <c:v>-5.36256036828511</c:v>
                </c:pt>
                <c:pt idx="3">
                  <c:v>-4.39049308875221</c:v>
                </c:pt>
                <c:pt idx="4">
                  <c:v>-3.59463171293777</c:v>
                </c:pt>
                <c:pt idx="5">
                  <c:v>-2.94303552937154</c:v>
                </c:pt>
                <c:pt idx="6">
                  <c:v>-2.40955369529762</c:v>
                </c:pt>
                <c:pt idx="7">
                  <c:v>-1.97277571153285</c:v>
                </c:pt>
                <c:pt idx="8">
                  <c:v>-1.61517214395724</c:v>
                </c:pt>
                <c:pt idx="9">
                  <c:v>-1.32239110577269</c:v>
                </c:pt>
                <c:pt idx="10">
                  <c:v>-1.0826822658929</c:v>
                </c:pt>
                <c:pt idx="11">
                  <c:v>-0.886425266898671</c:v>
                </c:pt>
                <c:pt idx="12">
                  <c:v>-0.7257436263153</c:v>
                </c:pt>
                <c:pt idx="13">
                  <c:v>-0.594188625714671</c:v>
                </c:pt>
                <c:pt idx="14">
                  <c:v>-0.486480501001744</c:v>
                </c:pt>
                <c:pt idx="15">
                  <c:v>-0.398296546942911</c:v>
                </c:pt>
                <c:pt idx="16">
                  <c:v>-0.32609763182693</c:v>
                </c:pt>
                <c:pt idx="17">
                  <c:v>-0.266986159682609</c:v>
                </c:pt>
                <c:pt idx="18">
                  <c:v>-0.21858977957834</c:v>
                </c:pt>
                <c:pt idx="19">
                  <c:v>-0.178966174849325</c:v>
                </c:pt>
                <c:pt idx="20">
                  <c:v>-0.146525111109873</c:v>
                </c:pt>
                <c:pt idx="21">
                  <c:v>-0.119964614563822</c:v>
                </c:pt>
                <c:pt idx="22">
                  <c:v>-0.0982187192245475</c:v>
                </c:pt>
                <c:pt idx="23">
                  <c:v>-0.0804146859570687</c:v>
                </c:pt>
                <c:pt idx="24">
                  <c:v>-0.0658379763921602</c:v>
                </c:pt>
                <c:pt idx="25">
                  <c:v>-0.0539035759926837</c:v>
                </c:pt>
                <c:pt idx="26">
                  <c:v>-0.0441325153660862</c:v>
                </c:pt>
                <c:pt idx="27">
                  <c:v>-0.0361326475409013</c:v>
                </c:pt>
                <c:pt idx="28">
                  <c:v>-0.0295829097318634</c:v>
                </c:pt>
                <c:pt idx="29">
                  <c:v>-0.0242204379630065</c:v>
                </c:pt>
                <c:pt idx="30">
                  <c:v>-0.0198300174133309</c:v>
                </c:pt>
                <c:pt idx="31">
                  <c:v>-0.0162354450903659</c:v>
                </c:pt>
                <c:pt idx="32">
                  <c:v>-0.0132924581853915</c:v>
                </c:pt>
                <c:pt idx="33">
                  <c:v>-0.0108829443003831</c:v>
                </c:pt>
                <c:pt idx="34">
                  <c:v>-0.00891020118275843</c:v>
                </c:pt>
                <c:pt idx="35">
                  <c:v>-0.00729505572443613</c:v>
                </c:pt>
                <c:pt idx="36">
                  <c:v>-0.00597268646701343</c:v>
                </c:pt>
                <c:pt idx="37">
                  <c:v>-0.00489002208903658</c:v>
                </c:pt>
                <c:pt idx="38">
                  <c:v>-0.00400361146752488</c:v>
                </c:pt>
                <c:pt idx="39">
                  <c:v>-0.00327787983183829</c:v>
                </c:pt>
                <c:pt idx="40">
                  <c:v>-0.00268370102322009</c:v>
                </c:pt>
                <c:pt idx="41">
                  <c:v>-0.00219722855977714</c:v>
                </c:pt>
                <c:pt idx="42">
                  <c:v>-0.00179893859343079</c:v>
                </c:pt>
                <c:pt idx="43">
                  <c:v>-0.00147284634934063</c:v>
                </c:pt>
                <c:pt idx="44">
                  <c:v>-0.00120586460076381</c:v>
                </c:pt>
                <c:pt idx="45">
                  <c:v>-0.000987278432693436</c:v>
                </c:pt>
                <c:pt idx="46">
                  <c:v>-0.000808315214696747</c:v>
                </c:pt>
                <c:pt idx="47">
                  <c:v>-0.000661792524453058</c:v>
                </c:pt>
                <c:pt idx="48">
                  <c:v>-0.000541829891926831</c:v>
                </c:pt>
                <c:pt idx="49">
                  <c:v>-0.000443612795457416</c:v>
                </c:pt>
                <c:pt idx="50">
                  <c:v>-0.000363199438099878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Iр,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Uр,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Заряд, L/3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Iз, А</c:v>
          </c:tx>
          <c:spPr>
            <a:ln w="25000">
              <a:solidFill>
                <a:srgbClr val="ED7D31"/>
              </a:solidFill>
              <a:prstDash val="solid"/>
            </a:ln>
          </c:spPr>
          <c:marker>
            <c:symbol val="none"/>
          </c:marker>
          <c:xVal>
            <c:numRef>
              <c:f>'Sheet1'!$T$10:$T$60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'Sheet1'!$U$10:$U$60</c:f>
              <c:numCache>
                <c:formatCode>General</c:formatCode>
                <c:ptCount val="51"/>
                <c:pt idx="0">
                  <c:v>0</c:v>
                </c:pt>
                <c:pt idx="1">
                  <c:v>0.690550968756951</c:v>
                </c:pt>
                <c:pt idx="2">
                  <c:v>0.844633717006343</c:v>
                </c:pt>
                <c:pt idx="3">
                  <c:v>0.87901422529934</c:v>
                </c:pt>
                <c:pt idx="4">
                  <c:v>0.886685553620741</c:v>
                </c:pt>
                <c:pt idx="5">
                  <c:v>0.888397258337646</c:v>
                </c:pt>
                <c:pt idx="6">
                  <c:v>0.888779191285256</c:v>
                </c:pt>
                <c:pt idx="7">
                  <c:v>0.888864412045022</c:v>
                </c:pt>
                <c:pt idx="8">
                  <c:v>0.888883427366797</c:v>
                </c:pt>
                <c:pt idx="9">
                  <c:v>0.88888767025859</c:v>
                </c:pt>
                <c:pt idx="10">
                  <c:v>0.888888616975715</c:v>
                </c:pt>
                <c:pt idx="11">
                  <c:v>0.888888828216859</c:v>
                </c:pt>
                <c:pt idx="12">
                  <c:v>0.888888875351129</c:v>
                </c:pt>
                <c:pt idx="13">
                  <c:v>0.888888885868206</c:v>
                </c:pt>
                <c:pt idx="14">
                  <c:v>0.888888888214884</c:v>
                </c:pt>
                <c:pt idx="15">
                  <c:v>0.888888888738498</c:v>
                </c:pt>
                <c:pt idx="16">
                  <c:v>0.888888888855332</c:v>
                </c:pt>
                <c:pt idx="17">
                  <c:v>0.888888888881401</c:v>
                </c:pt>
                <c:pt idx="18">
                  <c:v>0.888888888887218</c:v>
                </c:pt>
                <c:pt idx="19">
                  <c:v>0.888888888888516</c:v>
                </c:pt>
                <c:pt idx="20">
                  <c:v>0.888888888888806</c:v>
                </c:pt>
                <c:pt idx="21">
                  <c:v>0.88888888888887</c:v>
                </c:pt>
                <c:pt idx="22">
                  <c:v>0.888888888888885</c:v>
                </c:pt>
                <c:pt idx="23">
                  <c:v>0.888888888888888</c:v>
                </c:pt>
                <c:pt idx="24">
                  <c:v>0.888888888888889</c:v>
                </c:pt>
                <c:pt idx="25">
                  <c:v>0.888888888888889</c:v>
                </c:pt>
                <c:pt idx="26">
                  <c:v>0.888888888888889</c:v>
                </c:pt>
                <c:pt idx="27">
                  <c:v>0.888888888888889</c:v>
                </c:pt>
                <c:pt idx="28">
                  <c:v>0.888888888888889</c:v>
                </c:pt>
                <c:pt idx="29">
                  <c:v>0.888888888888889</c:v>
                </c:pt>
                <c:pt idx="30">
                  <c:v>0.888888888888889</c:v>
                </c:pt>
                <c:pt idx="31">
                  <c:v>0.888888888888889</c:v>
                </c:pt>
                <c:pt idx="32">
                  <c:v>0.888888888888889</c:v>
                </c:pt>
                <c:pt idx="33">
                  <c:v>0.888888888888889</c:v>
                </c:pt>
                <c:pt idx="34">
                  <c:v>0.888888888888889</c:v>
                </c:pt>
                <c:pt idx="35">
                  <c:v>0.888888888888889</c:v>
                </c:pt>
                <c:pt idx="36">
                  <c:v>0.888888888888889</c:v>
                </c:pt>
                <c:pt idx="37">
                  <c:v>0.888888888888889</c:v>
                </c:pt>
                <c:pt idx="38">
                  <c:v>0.888888888888889</c:v>
                </c:pt>
                <c:pt idx="39">
                  <c:v>0.888888888888889</c:v>
                </c:pt>
                <c:pt idx="40">
                  <c:v>0.888888888888889</c:v>
                </c:pt>
                <c:pt idx="41">
                  <c:v>0.888888888888889</c:v>
                </c:pt>
                <c:pt idx="42">
                  <c:v>0.888888888888889</c:v>
                </c:pt>
                <c:pt idx="43">
                  <c:v>0.888888888888889</c:v>
                </c:pt>
                <c:pt idx="44">
                  <c:v>0.888888888888889</c:v>
                </c:pt>
                <c:pt idx="45">
                  <c:v>0.888888888888889</c:v>
                </c:pt>
                <c:pt idx="46">
                  <c:v>0.888888888888889</c:v>
                </c:pt>
                <c:pt idx="47">
                  <c:v>0.888888888888889</c:v>
                </c:pt>
                <c:pt idx="48">
                  <c:v>0.888888888888889</c:v>
                </c:pt>
                <c:pt idx="49">
                  <c:v>0.888888888888889</c:v>
                </c:pt>
                <c:pt idx="50">
                  <c:v>0.888888888888889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Uз,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'Sheet1'!$T$10:$T$60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'Sheet1'!$V$10:$V$60</c:f>
              <c:numCache>
                <c:formatCode>General</c:formatCode>
                <c:ptCount val="51"/>
                <c:pt idx="0">
                  <c:v>8</c:v>
                </c:pt>
                <c:pt idx="1">
                  <c:v>1.78504128118744</c:v>
                </c:pt>
                <c:pt idx="2">
                  <c:v>0.398296546942911</c:v>
                </c:pt>
                <c:pt idx="3">
                  <c:v>0.0888719723059384</c:v>
                </c:pt>
                <c:pt idx="4">
                  <c:v>0.0198300174133309</c:v>
                </c:pt>
                <c:pt idx="5">
                  <c:v>0.00442467496118266</c:v>
                </c:pt>
                <c:pt idx="6">
                  <c:v>0.000987278432693435</c:v>
                </c:pt>
                <c:pt idx="7">
                  <c:v>0.000220291594797977</c:v>
                </c:pt>
                <c:pt idx="8">
                  <c:v>4.91536988266256e-05</c:v>
                </c:pt>
                <c:pt idx="9">
                  <c:v>1.09676726910726e-05</c:v>
                </c:pt>
                <c:pt idx="10">
                  <c:v>2.4472185640146e-06</c:v>
                </c:pt>
                <c:pt idx="11">
                  <c:v>5.46048270106788e-07</c:v>
                </c:pt>
                <c:pt idx="12">
                  <c:v>1.21839837957701e-07</c:v>
                </c:pt>
                <c:pt idx="13">
                  <c:v>2.71861425559605e-08</c:v>
                </c:pt>
                <c:pt idx="14">
                  <c:v>6.0660483423295e-09</c:v>
                </c:pt>
                <c:pt idx="15">
                  <c:v>1.3535183380921e-09</c:v>
                </c:pt>
                <c:pt idx="16">
                  <c:v>3.02010763542327e-10</c:v>
                </c:pt>
                <c:pt idx="17">
                  <c:v>6.73877100357489e-11</c:v>
                </c:pt>
                <c:pt idx="18">
                  <c:v>1.50362305323126e-11</c:v>
                </c:pt>
                <c:pt idx="19">
                  <c:v>3.35503652670362e-12</c:v>
                </c:pt>
                <c:pt idx="20">
                  <c:v>7.48609837507209e-13</c:v>
                </c:pt>
                <c:pt idx="21">
                  <c:v>1.67037432931674e-13</c:v>
                </c:pt>
                <c:pt idx="22">
                  <c:v>3.72710891608269e-14</c:v>
                </c:pt>
                <c:pt idx="23">
                  <c:v>8.31630409336178e-15</c:v>
                </c:pt>
                <c:pt idx="24">
                  <c:v>1.85561826419484e-15</c:v>
                </c:pt>
                <c:pt idx="25">
                  <c:v>4.1404440046415e-16</c:v>
                </c:pt>
                <c:pt idx="26">
                  <c:v>9.23857933841256e-17</c:v>
                </c:pt>
                <c:pt idx="27">
                  <c:v>2.06140568732397e-17</c:v>
                </c:pt>
                <c:pt idx="28">
                  <c:v>4.59961781143481e-18</c:v>
                </c:pt>
                <c:pt idx="29">
                  <c:v>1.02631345888702e-18</c:v>
                </c:pt>
                <c:pt idx="30">
                  <c:v>2.29001486443951e-19</c:v>
                </c:pt>
                <c:pt idx="31">
                  <c:v>5.1097138344467e-20</c:v>
                </c:pt>
                <c:pt idx="32">
                  <c:v>1.14013126619274e-20</c:v>
                </c:pt>
                <c:pt idx="33">
                  <c:v>2.54397672015818e-21</c:v>
                </c:pt>
                <c:pt idx="34">
                  <c:v>5.67637932982772e-22</c:v>
                </c:pt>
                <c:pt idx="35">
                  <c:v>1.2665714289277e-22</c:v>
                </c:pt>
                <c:pt idx="36">
                  <c:v>2.82610285776061e-23</c:v>
                </c:pt>
                <c:pt idx="37">
                  <c:v>6.30588783248064e-24</c:v>
                </c:pt>
                <c:pt idx="38">
                  <c:v>1.40703376193944e-24</c:v>
                </c:pt>
                <c:pt idx="39">
                  <c:v>3.13951668635795e-25</c:v>
                </c:pt>
                <c:pt idx="40">
                  <c:v>7.00520861015712e-26</c:v>
                </c:pt>
                <c:pt idx="41">
                  <c:v>1.56307331905753e-26</c:v>
                </c:pt>
                <c:pt idx="42">
                  <c:v>3.48768800005042e-27</c:v>
                </c:pt>
                <c:pt idx="43">
                  <c:v>7.78208381999017e-28</c:v>
                </c:pt>
                <c:pt idx="44">
                  <c:v>1.73641760904289e-28</c:v>
                </c:pt>
                <c:pt idx="45">
                  <c:v>3.87447139190293e-29</c:v>
                </c:pt>
                <c:pt idx="46">
                  <c:v>8.64511422165823e-30</c:v>
                </c:pt>
                <c:pt idx="47">
                  <c:v>1.92898572078004e-30</c:v>
                </c:pt>
                <c:pt idx="48">
                  <c:v>4.30414892801685e-31</c:v>
                </c:pt>
                <c:pt idx="49">
                  <c:v>9.60385439611106e-32</c:v>
                </c:pt>
                <c:pt idx="50">
                  <c:v>2.14290956944646e-32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Iз,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Uз,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Разряд, L/3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Iр, А</c:v>
          </c:tx>
          <c:spPr>
            <a:ln w="25000">
              <a:solidFill>
                <a:srgbClr val="548235"/>
              </a:solidFill>
              <a:prstDash val="solid"/>
            </a:ln>
          </c:spPr>
          <c:marker>
            <c:symbol val="none"/>
          </c:marker>
          <c:xVal>
            <c:numRef>
              <c:f>'Sheet1'!$AB$70:$AB$120</c:f>
              <c:numCache>
                <c:formatCode>General</c:formatCode>
                <c:ptCount val="51"/>
                <c:pt idx="0">
                  <c:v>0</c:v>
                </c:pt>
                <c:pt idx="1">
                  <c:v>5e-07</c:v>
                </c:pt>
                <c:pt idx="2">
                  <c:v>1e-06</c:v>
                </c:pt>
                <c:pt idx="3">
                  <c:v>1.5e-06</c:v>
                </c:pt>
                <c:pt idx="4">
                  <c:v>2e-06</c:v>
                </c:pt>
                <c:pt idx="5">
                  <c:v>2.5e-06</c:v>
                </c:pt>
                <c:pt idx="6">
                  <c:v>3e-06</c:v>
                </c:pt>
                <c:pt idx="7">
                  <c:v>3.5e-06</c:v>
                </c:pt>
                <c:pt idx="8">
                  <c:v>4e-06</c:v>
                </c:pt>
                <c:pt idx="9">
                  <c:v>4.5e-06</c:v>
                </c:pt>
                <c:pt idx="10">
                  <c:v>5e-06</c:v>
                </c:pt>
                <c:pt idx="11">
                  <c:v>5.5e-06</c:v>
                </c:pt>
                <c:pt idx="12">
                  <c:v>6e-06</c:v>
                </c:pt>
                <c:pt idx="13">
                  <c:v>6.5e-06</c:v>
                </c:pt>
                <c:pt idx="14">
                  <c:v>7e-06</c:v>
                </c:pt>
                <c:pt idx="15">
                  <c:v>7.5e-06</c:v>
                </c:pt>
                <c:pt idx="16">
                  <c:v>8e-06</c:v>
                </c:pt>
                <c:pt idx="17">
                  <c:v>8.5e-06</c:v>
                </c:pt>
                <c:pt idx="18">
                  <c:v>9e-06</c:v>
                </c:pt>
                <c:pt idx="19">
                  <c:v>9.5e-06</c:v>
                </c:pt>
                <c:pt idx="20">
                  <c:v>1e-05</c:v>
                </c:pt>
                <c:pt idx="21">
                  <c:v>1.05e-05</c:v>
                </c:pt>
                <c:pt idx="22">
                  <c:v>1.1e-05</c:v>
                </c:pt>
                <c:pt idx="23">
                  <c:v>1.15e-05</c:v>
                </c:pt>
                <c:pt idx="24">
                  <c:v>1.2e-05</c:v>
                </c:pt>
                <c:pt idx="25">
                  <c:v>1.25e-05</c:v>
                </c:pt>
                <c:pt idx="26">
                  <c:v>1.3e-05</c:v>
                </c:pt>
                <c:pt idx="27">
                  <c:v>1.35e-05</c:v>
                </c:pt>
                <c:pt idx="28">
                  <c:v>1.4e-05</c:v>
                </c:pt>
                <c:pt idx="29">
                  <c:v>1.45e-05</c:v>
                </c:pt>
                <c:pt idx="30">
                  <c:v>1.5e-05</c:v>
                </c:pt>
                <c:pt idx="31">
                  <c:v>1.55e-05</c:v>
                </c:pt>
                <c:pt idx="32">
                  <c:v>1.6e-05</c:v>
                </c:pt>
                <c:pt idx="33">
                  <c:v>1.65e-05</c:v>
                </c:pt>
                <c:pt idx="34">
                  <c:v>1.7e-05</c:v>
                </c:pt>
                <c:pt idx="35">
                  <c:v>1.75e-05</c:v>
                </c:pt>
                <c:pt idx="36">
                  <c:v>1.8e-05</c:v>
                </c:pt>
                <c:pt idx="37">
                  <c:v>1.85e-05</c:v>
                </c:pt>
                <c:pt idx="38">
                  <c:v>1.9e-05</c:v>
                </c:pt>
                <c:pt idx="39">
                  <c:v>1.95e-05</c:v>
                </c:pt>
                <c:pt idx="40">
                  <c:v>2e-05</c:v>
                </c:pt>
                <c:pt idx="41">
                  <c:v>2.05e-05</c:v>
                </c:pt>
                <c:pt idx="42">
                  <c:v>2.1e-05</c:v>
                </c:pt>
                <c:pt idx="43">
                  <c:v>2.15e-05</c:v>
                </c:pt>
                <c:pt idx="44">
                  <c:v>2.2e-05</c:v>
                </c:pt>
                <c:pt idx="45">
                  <c:v>2.25e-05</c:v>
                </c:pt>
                <c:pt idx="46">
                  <c:v>2.3e-05</c:v>
                </c:pt>
                <c:pt idx="47">
                  <c:v>2.35e-05</c:v>
                </c:pt>
                <c:pt idx="48">
                  <c:v>2.4e-05</c:v>
                </c:pt>
                <c:pt idx="49">
                  <c:v>2.45e-05</c:v>
                </c:pt>
                <c:pt idx="50">
                  <c:v>2.5e-05</c:v>
                </c:pt>
              </c:numCache>
            </c:numRef>
          </c:xVal>
          <c:yVal>
            <c:numRef>
              <c:f>'Sheet1'!$AC$70:$AC$120</c:f>
              <c:numCache>
                <c:formatCode>General</c:formatCode>
                <c:ptCount val="51"/>
                <c:pt idx="0">
                  <c:v>0.0666666666666667</c:v>
                </c:pt>
                <c:pt idx="1">
                  <c:v>0.0545820502051988</c:v>
                </c:pt>
                <c:pt idx="2">
                  <c:v>0.0446880030690426</c:v>
                </c:pt>
                <c:pt idx="3">
                  <c:v>0.0365874424062684</c:v>
                </c:pt>
                <c:pt idx="4">
                  <c:v>0.0299552642744814</c:v>
                </c:pt>
                <c:pt idx="5">
                  <c:v>0.0245252960780962</c:v>
                </c:pt>
                <c:pt idx="6">
                  <c:v>0.0200796141274801</c:v>
                </c:pt>
                <c:pt idx="7">
                  <c:v>0.0164397975961071</c:v>
                </c:pt>
                <c:pt idx="8">
                  <c:v>0.0134597678663104</c:v>
                </c:pt>
                <c:pt idx="9">
                  <c:v>0.0110199258814391</c:v>
                </c:pt>
                <c:pt idx="10">
                  <c:v>0.00902235221577418</c:v>
                </c:pt>
                <c:pt idx="11">
                  <c:v>0.00738687722415559</c:v>
                </c:pt>
                <c:pt idx="12">
                  <c:v>0.0060478635526275</c:v>
                </c:pt>
                <c:pt idx="13">
                  <c:v>0.00495157188095559</c:v>
                </c:pt>
                <c:pt idx="14">
                  <c:v>0.00405400417501453</c:v>
                </c:pt>
                <c:pt idx="15">
                  <c:v>0.00331913789119093</c:v>
                </c:pt>
                <c:pt idx="16">
                  <c:v>0.00271748026522441</c:v>
                </c:pt>
                <c:pt idx="17">
                  <c:v>0.00222488466402174</c:v>
                </c:pt>
                <c:pt idx="18">
                  <c:v>0.00182158149648617</c:v>
                </c:pt>
                <c:pt idx="19">
                  <c:v>0.00149138479041104</c:v>
                </c:pt>
                <c:pt idx="20">
                  <c:v>0.00122104259258228</c:v>
                </c:pt>
                <c:pt idx="21">
                  <c:v>0.00099970512136518</c:v>
                </c:pt>
                <c:pt idx="22">
                  <c:v>0.000818489326871229</c:v>
                </c:pt>
                <c:pt idx="23">
                  <c:v>0.000670122382975572</c:v>
                </c:pt>
                <c:pt idx="24">
                  <c:v>0.000548649803268001</c:v>
                </c:pt>
                <c:pt idx="25">
                  <c:v>0.000449196466605698</c:v>
                </c:pt>
                <c:pt idx="26">
                  <c:v>0.000367770961384051</c:v>
                </c:pt>
                <c:pt idx="27">
                  <c:v>0.000301105396174178</c:v>
                </c:pt>
                <c:pt idx="28">
                  <c:v>0.000246524247765529</c:v>
                </c:pt>
                <c:pt idx="29">
                  <c:v>0.000201836983025054</c:v>
                </c:pt>
                <c:pt idx="30">
                  <c:v>0.000165250145111091</c:v>
                </c:pt>
                <c:pt idx="31">
                  <c:v>0.000135295375753049</c:v>
                </c:pt>
                <c:pt idx="32">
                  <c:v>0.000110770484878262</c:v>
                </c:pt>
                <c:pt idx="33">
                  <c:v>9.0691202503193e-05</c:v>
                </c:pt>
                <c:pt idx="34">
                  <c:v>7.42516765229868e-05</c:v>
                </c:pt>
                <c:pt idx="35">
                  <c:v>6.07921310369678e-05</c:v>
                </c:pt>
                <c:pt idx="36">
                  <c:v>4.97723872251119e-05</c:v>
                </c:pt>
                <c:pt idx="37">
                  <c:v>4.07501840753049e-05</c:v>
                </c:pt>
                <c:pt idx="38">
                  <c:v>3.33634288960407e-05</c:v>
                </c:pt>
                <c:pt idx="39">
                  <c:v>2.73156652653191e-05</c:v>
                </c:pt>
                <c:pt idx="40">
                  <c:v>2.23641751935008e-05</c:v>
                </c:pt>
                <c:pt idx="41">
                  <c:v>1.83102379981428e-05</c:v>
                </c:pt>
                <c:pt idx="42">
                  <c:v>1.49911549452565e-05</c:v>
                </c:pt>
                <c:pt idx="43">
                  <c:v>1.22737195778386e-05</c:v>
                </c:pt>
                <c:pt idx="44">
                  <c:v>1.00488716730318e-05</c:v>
                </c:pt>
                <c:pt idx="45">
                  <c:v>8.2273202724453e-06</c:v>
                </c:pt>
                <c:pt idx="46">
                  <c:v>6.73596012247288e-06</c:v>
                </c:pt>
                <c:pt idx="47">
                  <c:v>5.51493770377548e-06</c:v>
                </c:pt>
                <c:pt idx="48">
                  <c:v>4.51524909939025e-06</c:v>
                </c:pt>
                <c:pt idx="49">
                  <c:v>3.69677329547846e-06</c:v>
                </c:pt>
                <c:pt idx="50">
                  <c:v>3.02666198416566e-06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Uр,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'Sheet1'!$AB$70:$AB$120</c:f>
              <c:numCache>
                <c:formatCode>General</c:formatCode>
                <c:ptCount val="51"/>
                <c:pt idx="0">
                  <c:v>0</c:v>
                </c:pt>
                <c:pt idx="1">
                  <c:v>5e-07</c:v>
                </c:pt>
                <c:pt idx="2">
                  <c:v>1e-06</c:v>
                </c:pt>
                <c:pt idx="3">
                  <c:v>1.5e-06</c:v>
                </c:pt>
                <c:pt idx="4">
                  <c:v>2e-06</c:v>
                </c:pt>
                <c:pt idx="5">
                  <c:v>2.5e-06</c:v>
                </c:pt>
                <c:pt idx="6">
                  <c:v>3e-06</c:v>
                </c:pt>
                <c:pt idx="7">
                  <c:v>3.5e-06</c:v>
                </c:pt>
                <c:pt idx="8">
                  <c:v>4e-06</c:v>
                </c:pt>
                <c:pt idx="9">
                  <c:v>4.5e-06</c:v>
                </c:pt>
                <c:pt idx="10">
                  <c:v>5e-06</c:v>
                </c:pt>
                <c:pt idx="11">
                  <c:v>5.5e-06</c:v>
                </c:pt>
                <c:pt idx="12">
                  <c:v>6e-06</c:v>
                </c:pt>
                <c:pt idx="13">
                  <c:v>6.5e-06</c:v>
                </c:pt>
                <c:pt idx="14">
                  <c:v>7e-06</c:v>
                </c:pt>
                <c:pt idx="15">
                  <c:v>7.5e-06</c:v>
                </c:pt>
                <c:pt idx="16">
                  <c:v>8e-06</c:v>
                </c:pt>
                <c:pt idx="17">
                  <c:v>8.5e-06</c:v>
                </c:pt>
                <c:pt idx="18">
                  <c:v>9e-06</c:v>
                </c:pt>
                <c:pt idx="19">
                  <c:v>9.5e-06</c:v>
                </c:pt>
                <c:pt idx="20">
                  <c:v>1e-05</c:v>
                </c:pt>
                <c:pt idx="21">
                  <c:v>1.05e-05</c:v>
                </c:pt>
                <c:pt idx="22">
                  <c:v>1.1e-05</c:v>
                </c:pt>
                <c:pt idx="23">
                  <c:v>1.15e-05</c:v>
                </c:pt>
                <c:pt idx="24">
                  <c:v>1.2e-05</c:v>
                </c:pt>
                <c:pt idx="25">
                  <c:v>1.25e-05</c:v>
                </c:pt>
                <c:pt idx="26">
                  <c:v>1.3e-05</c:v>
                </c:pt>
                <c:pt idx="27">
                  <c:v>1.35e-05</c:v>
                </c:pt>
                <c:pt idx="28">
                  <c:v>1.4e-05</c:v>
                </c:pt>
                <c:pt idx="29">
                  <c:v>1.45e-05</c:v>
                </c:pt>
                <c:pt idx="30">
                  <c:v>1.5e-05</c:v>
                </c:pt>
                <c:pt idx="31">
                  <c:v>1.55e-05</c:v>
                </c:pt>
                <c:pt idx="32">
                  <c:v>1.6e-05</c:v>
                </c:pt>
                <c:pt idx="33">
                  <c:v>1.65e-05</c:v>
                </c:pt>
                <c:pt idx="34">
                  <c:v>1.7e-05</c:v>
                </c:pt>
                <c:pt idx="35">
                  <c:v>1.75e-05</c:v>
                </c:pt>
                <c:pt idx="36">
                  <c:v>1.8e-05</c:v>
                </c:pt>
                <c:pt idx="37">
                  <c:v>1.85e-05</c:v>
                </c:pt>
                <c:pt idx="38">
                  <c:v>1.9e-05</c:v>
                </c:pt>
                <c:pt idx="39">
                  <c:v>1.95e-05</c:v>
                </c:pt>
                <c:pt idx="40">
                  <c:v>2e-05</c:v>
                </c:pt>
                <c:pt idx="41">
                  <c:v>2.05e-05</c:v>
                </c:pt>
                <c:pt idx="42">
                  <c:v>2.1e-05</c:v>
                </c:pt>
                <c:pt idx="43">
                  <c:v>2.15e-05</c:v>
                </c:pt>
                <c:pt idx="44">
                  <c:v>2.2e-05</c:v>
                </c:pt>
                <c:pt idx="45">
                  <c:v>2.25e-05</c:v>
                </c:pt>
                <c:pt idx="46">
                  <c:v>2.3e-05</c:v>
                </c:pt>
                <c:pt idx="47">
                  <c:v>2.35e-05</c:v>
                </c:pt>
                <c:pt idx="48">
                  <c:v>2.4e-05</c:v>
                </c:pt>
                <c:pt idx="49">
                  <c:v>2.45e-05</c:v>
                </c:pt>
                <c:pt idx="50">
                  <c:v>2.5e-05</c:v>
                </c:pt>
              </c:numCache>
            </c:numRef>
          </c:xVal>
          <c:yVal>
            <c:numRef>
              <c:f>'Sheet1'!$AD$70:$AD$120</c:f>
              <c:numCache>
                <c:formatCode>General</c:formatCode>
                <c:ptCount val="51"/>
                <c:pt idx="0">
                  <c:v>-8</c:v>
                </c:pt>
                <c:pt idx="1">
                  <c:v>-6.54984602462385</c:v>
                </c:pt>
                <c:pt idx="2">
                  <c:v>-5.36256036828511</c:v>
                </c:pt>
                <c:pt idx="3">
                  <c:v>-4.39049308875221</c:v>
                </c:pt>
                <c:pt idx="4">
                  <c:v>-3.59463171293777</c:v>
                </c:pt>
                <c:pt idx="5">
                  <c:v>-2.94303552937154</c:v>
                </c:pt>
                <c:pt idx="6">
                  <c:v>-2.40955369529762</c:v>
                </c:pt>
                <c:pt idx="7">
                  <c:v>-1.97277571153285</c:v>
                </c:pt>
                <c:pt idx="8">
                  <c:v>-1.61517214395724</c:v>
                </c:pt>
                <c:pt idx="9">
                  <c:v>-1.32239110577269</c:v>
                </c:pt>
                <c:pt idx="10">
                  <c:v>-1.0826822658929</c:v>
                </c:pt>
                <c:pt idx="11">
                  <c:v>-0.886425266898671</c:v>
                </c:pt>
                <c:pt idx="12">
                  <c:v>-0.7257436263153</c:v>
                </c:pt>
                <c:pt idx="13">
                  <c:v>-0.594188625714671</c:v>
                </c:pt>
                <c:pt idx="14">
                  <c:v>-0.486480501001744</c:v>
                </c:pt>
                <c:pt idx="15">
                  <c:v>-0.398296546942912</c:v>
                </c:pt>
                <c:pt idx="16">
                  <c:v>-0.32609763182693</c:v>
                </c:pt>
                <c:pt idx="17">
                  <c:v>-0.266986159682609</c:v>
                </c:pt>
                <c:pt idx="18">
                  <c:v>-0.21858977957834</c:v>
                </c:pt>
                <c:pt idx="19">
                  <c:v>-0.178966174849325</c:v>
                </c:pt>
                <c:pt idx="20">
                  <c:v>-0.146525111109873</c:v>
                </c:pt>
                <c:pt idx="21">
                  <c:v>-0.119964614563822</c:v>
                </c:pt>
                <c:pt idx="22">
                  <c:v>-0.0982187192245475</c:v>
                </c:pt>
                <c:pt idx="23">
                  <c:v>-0.0804146859570686</c:v>
                </c:pt>
                <c:pt idx="24">
                  <c:v>-0.0658379763921602</c:v>
                </c:pt>
                <c:pt idx="25">
                  <c:v>-0.0539035759926837</c:v>
                </c:pt>
                <c:pt idx="26">
                  <c:v>-0.0441325153660862</c:v>
                </c:pt>
                <c:pt idx="27">
                  <c:v>-0.0361326475409013</c:v>
                </c:pt>
                <c:pt idx="28">
                  <c:v>-0.0295829097318634</c:v>
                </c:pt>
                <c:pt idx="29">
                  <c:v>-0.0242204379630065</c:v>
                </c:pt>
                <c:pt idx="30">
                  <c:v>-0.0198300174133309</c:v>
                </c:pt>
                <c:pt idx="31">
                  <c:v>-0.0162354450903659</c:v>
                </c:pt>
                <c:pt idx="32">
                  <c:v>-0.0132924581853915</c:v>
                </c:pt>
                <c:pt idx="33">
                  <c:v>-0.0108829443003832</c:v>
                </c:pt>
                <c:pt idx="34">
                  <c:v>-0.00891020118275842</c:v>
                </c:pt>
                <c:pt idx="35">
                  <c:v>-0.00729505572443613</c:v>
                </c:pt>
                <c:pt idx="36">
                  <c:v>-0.00597268646701343</c:v>
                </c:pt>
                <c:pt idx="37">
                  <c:v>-0.00489002208903658</c:v>
                </c:pt>
                <c:pt idx="38">
                  <c:v>-0.00400361146752488</c:v>
                </c:pt>
                <c:pt idx="39">
                  <c:v>-0.00327787983183829</c:v>
                </c:pt>
                <c:pt idx="40">
                  <c:v>-0.00268370102322009</c:v>
                </c:pt>
                <c:pt idx="41">
                  <c:v>-0.00219722855977714</c:v>
                </c:pt>
                <c:pt idx="42">
                  <c:v>-0.00179893859343079</c:v>
                </c:pt>
                <c:pt idx="43">
                  <c:v>-0.00147284634934063</c:v>
                </c:pt>
                <c:pt idx="44">
                  <c:v>-0.00120586460076381</c:v>
                </c:pt>
                <c:pt idx="45">
                  <c:v>-0.000987278432693436</c:v>
                </c:pt>
                <c:pt idx="46">
                  <c:v>-0.000808315214696746</c:v>
                </c:pt>
                <c:pt idx="47">
                  <c:v>-0.000661792524453058</c:v>
                </c:pt>
                <c:pt idx="48">
                  <c:v>-0.00054182989192683</c:v>
                </c:pt>
                <c:pt idx="49">
                  <c:v>-0.000443612795457416</c:v>
                </c:pt>
                <c:pt idx="50">
                  <c:v>-0.000363199438099879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Iр,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Uр,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Заряд, r/2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Iз, А</c:v>
          </c:tx>
          <c:spPr>
            <a:ln w="25000">
              <a:solidFill>
                <a:srgbClr val="ED7D31"/>
              </a:solidFill>
              <a:prstDash val="solid"/>
            </a:ln>
          </c:spPr>
          <c:marker>
            <c:symbol val="none"/>
          </c:marker>
          <c:xVal>
            <c:numRef>
              <c:f>'Sheet1'!$AO$10:$AO$60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'Sheet1'!$AP$10:$AP$60</c:f>
              <c:numCache>
                <c:formatCode>General</c:formatCode>
                <c:ptCount val="51"/>
                <c:pt idx="0">
                  <c:v>0</c:v>
                </c:pt>
                <c:pt idx="1">
                  <c:v>0.393243052317502</c:v>
                </c:pt>
                <c:pt idx="2">
                  <c:v>0.699501049399763</c:v>
                </c:pt>
                <c:pt idx="3">
                  <c:v>0.938015017349307</c:v>
                </c:pt>
                <c:pt idx="4">
                  <c:v>1.12376988236188</c:v>
                </c:pt>
                <c:pt idx="5">
                  <c:v>1.268435916693</c:v>
                </c:pt>
                <c:pt idx="6">
                  <c:v>1.3811019375139</c:v>
                </c:pt>
                <c:pt idx="7">
                  <c:v>1.46884632275476</c:v>
                </c:pt>
                <c:pt idx="8">
                  <c:v>1.53718171869047</c:v>
                </c:pt>
                <c:pt idx="9">
                  <c:v>1.59040137855669</c:v>
                </c:pt>
                <c:pt idx="10">
                  <c:v>1.63184889133529</c:v>
                </c:pt>
                <c:pt idx="11">
                  <c:v>1.66412824674363</c:v>
                </c:pt>
                <c:pt idx="12">
                  <c:v>1.68926743401269</c:v>
                </c:pt>
                <c:pt idx="13">
                  <c:v>1.70884585274361</c:v>
                </c:pt>
                <c:pt idx="14">
                  <c:v>1.72409354058254</c:v>
                </c:pt>
                <c:pt idx="15">
                  <c:v>1.73596845181154</c:v>
                </c:pt>
                <c:pt idx="16">
                  <c:v>1.74521664197558</c:v>
                </c:pt>
                <c:pt idx="17">
                  <c:v>1.75241913971733</c:v>
                </c:pt>
                <c:pt idx="18">
                  <c:v>1.75802845059868</c:v>
                </c:pt>
                <c:pt idx="19">
                  <c:v>1.76239698630556</c:v>
                </c:pt>
                <c:pt idx="20">
                  <c:v>1.76579920533496</c:v>
                </c:pt>
                <c:pt idx="21">
                  <c:v>1.76844885617923</c:v>
                </c:pt>
                <c:pt idx="22">
                  <c:v>1.77051240633162</c:v>
                </c:pt>
                <c:pt idx="23">
                  <c:v>1.7721195008062</c:v>
                </c:pt>
                <c:pt idx="24">
                  <c:v>1.77337110724148</c:v>
                </c:pt>
                <c:pt idx="25">
                  <c:v>1.77434585931337</c:v>
                </c:pt>
                <c:pt idx="26">
                  <c:v>1.77510499699026</c:v>
                </c:pt>
                <c:pt idx="27">
                  <c:v>1.77569621400748</c:v>
                </c:pt>
                <c:pt idx="28">
                  <c:v>1.77615665428346</c:v>
                </c:pt>
                <c:pt idx="29">
                  <c:v>1.77651524553095</c:v>
                </c:pt>
                <c:pt idx="30">
                  <c:v>1.77679451667529</c:v>
                </c:pt>
                <c:pt idx="31">
                  <c:v>1.7770120132612</c:v>
                </c:pt>
                <c:pt idx="32">
                  <c:v>1.77718139977262</c:v>
                </c:pt>
                <c:pt idx="33">
                  <c:v>1.77731331812035</c:v>
                </c:pt>
                <c:pt idx="34">
                  <c:v>1.77741605623287</c:v>
                </c:pt>
                <c:pt idx="35">
                  <c:v>1.77749606875535</c:v>
                </c:pt>
                <c:pt idx="36">
                  <c:v>1.77755838257051</c:v>
                </c:pt>
                <c:pt idx="37">
                  <c:v>1.77760691261856</c:v>
                </c:pt>
                <c:pt idx="38">
                  <c:v>1.77764470785798</c:v>
                </c:pt>
                <c:pt idx="39">
                  <c:v>1.77767414282003</c:v>
                </c:pt>
                <c:pt idx="40">
                  <c:v>1.77769706679153</c:v>
                </c:pt>
                <c:pt idx="41">
                  <c:v>1.77771491999849</c:v>
                </c:pt>
                <c:pt idx="42">
                  <c:v>1.77772882409004</c:v>
                </c:pt>
                <c:pt idx="43">
                  <c:v>1.77773965260744</c:v>
                </c:pt>
                <c:pt idx="44">
                  <c:v>1.77774808586526</c:v>
                </c:pt>
                <c:pt idx="45">
                  <c:v>1.77775465369306</c:v>
                </c:pt>
                <c:pt idx="46">
                  <c:v>1.77775976872249</c:v>
                </c:pt>
                <c:pt idx="47">
                  <c:v>1.77776375231142</c:v>
                </c:pt>
                <c:pt idx="48">
                  <c:v>1.77776685473359</c:v>
                </c:pt>
                <c:pt idx="49">
                  <c:v>1.77776927090241</c:v>
                </c:pt>
                <c:pt idx="50">
                  <c:v>1.77777115261658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Uз,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'Sheet1'!$AO$10:$AO$60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'Sheet1'!$AQ$10:$AQ$60</c:f>
              <c:numCache>
                <c:formatCode>General</c:formatCode>
                <c:ptCount val="51"/>
                <c:pt idx="0">
                  <c:v>8</c:v>
                </c:pt>
                <c:pt idx="1">
                  <c:v>6.23040626457124</c:v>
                </c:pt>
                <c:pt idx="2">
                  <c:v>4.85224527770107</c:v>
                </c:pt>
                <c:pt idx="3">
                  <c:v>3.77893242192812</c:v>
                </c:pt>
                <c:pt idx="4">
                  <c:v>2.94303552937154</c:v>
                </c:pt>
                <c:pt idx="5">
                  <c:v>2.29203837488152</c:v>
                </c:pt>
                <c:pt idx="6">
                  <c:v>1.78504128118744</c:v>
                </c:pt>
                <c:pt idx="7">
                  <c:v>1.39019154760356</c:v>
                </c:pt>
                <c:pt idx="8">
                  <c:v>1.0826822658929</c:v>
                </c:pt>
                <c:pt idx="9">
                  <c:v>0.843193796494914</c:v>
                </c:pt>
                <c:pt idx="10">
                  <c:v>0.65667998899119</c:v>
                </c:pt>
                <c:pt idx="11">
                  <c:v>0.51142288965366</c:v>
                </c:pt>
                <c:pt idx="12">
                  <c:v>0.398296546942911</c:v>
                </c:pt>
                <c:pt idx="13">
                  <c:v>0.310193662653776</c:v>
                </c:pt>
                <c:pt idx="14">
                  <c:v>0.241579067378548</c:v>
                </c:pt>
                <c:pt idx="15">
                  <c:v>0.188141966848073</c:v>
                </c:pt>
                <c:pt idx="16">
                  <c:v>0.146525111109873</c:v>
                </c:pt>
                <c:pt idx="17">
                  <c:v>0.114113871271994</c:v>
                </c:pt>
                <c:pt idx="18">
                  <c:v>0.0888719723059384</c:v>
                </c:pt>
                <c:pt idx="19">
                  <c:v>0.0692135616249651</c:v>
                </c:pt>
                <c:pt idx="20">
                  <c:v>0.0539035759926837</c:v>
                </c:pt>
                <c:pt idx="21">
                  <c:v>0.041980147193451</c:v>
                </c:pt>
                <c:pt idx="22">
                  <c:v>0.0326941715077125</c:v>
                </c:pt>
                <c:pt idx="23">
                  <c:v>0.0254622463720773</c:v>
                </c:pt>
                <c:pt idx="24">
                  <c:v>0.0198300174133309</c:v>
                </c:pt>
                <c:pt idx="25">
                  <c:v>0.0154436330898217</c:v>
                </c:pt>
                <c:pt idx="26">
                  <c:v>0.0120275135438206</c:v>
                </c:pt>
                <c:pt idx="27">
                  <c:v>0.00936703696632939</c:v>
                </c:pt>
                <c:pt idx="28">
                  <c:v>0.00729505572443613</c:v>
                </c:pt>
                <c:pt idx="29">
                  <c:v>0.00568139511074039</c:v>
                </c:pt>
                <c:pt idx="30">
                  <c:v>0.00442467496118267</c:v>
                </c:pt>
                <c:pt idx="31">
                  <c:v>0.0034459403246055</c:v>
                </c:pt>
                <c:pt idx="32">
                  <c:v>0.00268370102322009</c:v>
                </c:pt>
                <c:pt idx="33">
                  <c:v>0.00209006845841334</c:v>
                </c:pt>
                <c:pt idx="34">
                  <c:v>0.00162774695208515</c:v>
                </c:pt>
                <c:pt idx="35">
                  <c:v>0.00126769060092601</c:v>
                </c:pt>
                <c:pt idx="36">
                  <c:v>0.000987278432693435</c:v>
                </c:pt>
                <c:pt idx="37">
                  <c:v>0.000768893216491156</c:v>
                </c:pt>
                <c:pt idx="38">
                  <c:v>0.000598814639101605</c:v>
                </c:pt>
                <c:pt idx="39">
                  <c:v>0.00046635730984695</c:v>
                </c:pt>
                <c:pt idx="40">
                  <c:v>0.000363199438099878</c:v>
                </c:pt>
                <c:pt idx="41">
                  <c:v>0.000282860006803279</c:v>
                </c:pt>
                <c:pt idx="42">
                  <c:v>0.000220291594797977</c:v>
                </c:pt>
                <c:pt idx="43">
                  <c:v>0.000171563266532713</c:v>
                </c:pt>
                <c:pt idx="44">
                  <c:v>0.000133613606321965</c:v>
                </c:pt>
                <c:pt idx="45">
                  <c:v>0.000104058381232541</c:v>
                </c:pt>
                <c:pt idx="46">
                  <c:v>8.10407487890457e-05</c:v>
                </c:pt>
                <c:pt idx="47">
                  <c:v>6.31145986176017e-05</c:v>
                </c:pt>
                <c:pt idx="48">
                  <c:v>4.91536988266256e-05</c:v>
                </c:pt>
                <c:pt idx="49">
                  <c:v>3.82809391370321e-05</c:v>
                </c:pt>
                <c:pt idx="50">
                  <c:v>2.98132253766294e-05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Iз,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Uз,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Разряд, R/10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Iр, А</c:v>
          </c:tx>
          <c:spPr>
            <a:ln w="25000">
              <a:solidFill>
                <a:srgbClr val="548235"/>
              </a:solidFill>
              <a:prstDash val="solid"/>
            </a:ln>
          </c:spPr>
          <c:marker>
            <c:symbol val="none"/>
          </c:marker>
          <c:xVal>
            <c:numRef>
              <c:f>'Sheet1'!$AW$70:$AW$120</c:f>
              <c:numCache>
                <c:formatCode>General</c:formatCode>
                <c:ptCount val="51"/>
                <c:pt idx="0">
                  <c:v>0</c:v>
                </c:pt>
                <c:pt idx="1">
                  <c:v>1.5e-05</c:v>
                </c:pt>
                <c:pt idx="2">
                  <c:v>3e-05</c:v>
                </c:pt>
                <c:pt idx="3">
                  <c:v>4.5e-05</c:v>
                </c:pt>
                <c:pt idx="4">
                  <c:v>6e-05</c:v>
                </c:pt>
                <c:pt idx="5">
                  <c:v>7.5e-05</c:v>
                </c:pt>
                <c:pt idx="6">
                  <c:v>9e-05</c:v>
                </c:pt>
                <c:pt idx="7">
                  <c:v>0.000105</c:v>
                </c:pt>
                <c:pt idx="8">
                  <c:v>0.00012</c:v>
                </c:pt>
                <c:pt idx="9">
                  <c:v>0.000135</c:v>
                </c:pt>
                <c:pt idx="10">
                  <c:v>0.00015</c:v>
                </c:pt>
                <c:pt idx="11">
                  <c:v>0.000165</c:v>
                </c:pt>
                <c:pt idx="12">
                  <c:v>0.00018</c:v>
                </c:pt>
                <c:pt idx="13">
                  <c:v>0.000195</c:v>
                </c:pt>
                <c:pt idx="14">
                  <c:v>0.00021</c:v>
                </c:pt>
                <c:pt idx="15">
                  <c:v>0.000225</c:v>
                </c:pt>
                <c:pt idx="16">
                  <c:v>0.00024</c:v>
                </c:pt>
                <c:pt idx="17">
                  <c:v>0.000255</c:v>
                </c:pt>
                <c:pt idx="18">
                  <c:v>0.00027</c:v>
                </c:pt>
                <c:pt idx="19">
                  <c:v>0.000285</c:v>
                </c:pt>
                <c:pt idx="20">
                  <c:v>0.0003</c:v>
                </c:pt>
                <c:pt idx="21">
                  <c:v>0.000315</c:v>
                </c:pt>
                <c:pt idx="22">
                  <c:v>0.00033</c:v>
                </c:pt>
                <c:pt idx="23">
                  <c:v>0.000345</c:v>
                </c:pt>
                <c:pt idx="24">
                  <c:v>0.00036</c:v>
                </c:pt>
                <c:pt idx="25">
                  <c:v>0.000375</c:v>
                </c:pt>
                <c:pt idx="26">
                  <c:v>0.00039</c:v>
                </c:pt>
                <c:pt idx="27">
                  <c:v>0.000405</c:v>
                </c:pt>
                <c:pt idx="28">
                  <c:v>0.00042</c:v>
                </c:pt>
                <c:pt idx="29">
                  <c:v>0.000435</c:v>
                </c:pt>
                <c:pt idx="30">
                  <c:v>0.00045</c:v>
                </c:pt>
                <c:pt idx="31">
                  <c:v>0.000465</c:v>
                </c:pt>
                <c:pt idx="32">
                  <c:v>0.00048</c:v>
                </c:pt>
                <c:pt idx="33">
                  <c:v>0.000495</c:v>
                </c:pt>
                <c:pt idx="34">
                  <c:v>0.00051</c:v>
                </c:pt>
                <c:pt idx="35">
                  <c:v>0.000525</c:v>
                </c:pt>
                <c:pt idx="36">
                  <c:v>0.00054</c:v>
                </c:pt>
                <c:pt idx="37">
                  <c:v>0.000555</c:v>
                </c:pt>
                <c:pt idx="38">
                  <c:v>0.00057</c:v>
                </c:pt>
                <c:pt idx="39">
                  <c:v>0.000585</c:v>
                </c:pt>
                <c:pt idx="40">
                  <c:v>0.0006</c:v>
                </c:pt>
                <c:pt idx="41">
                  <c:v>0.000615</c:v>
                </c:pt>
                <c:pt idx="42">
                  <c:v>0.00063</c:v>
                </c:pt>
                <c:pt idx="43">
                  <c:v>0.000645</c:v>
                </c:pt>
                <c:pt idx="44">
                  <c:v>0.00066</c:v>
                </c:pt>
                <c:pt idx="45">
                  <c:v>0.000675</c:v>
                </c:pt>
                <c:pt idx="46">
                  <c:v>0.00069</c:v>
                </c:pt>
                <c:pt idx="47">
                  <c:v>0.000705</c:v>
                </c:pt>
                <c:pt idx="48">
                  <c:v>0.00072</c:v>
                </c:pt>
                <c:pt idx="49">
                  <c:v>0.000735</c:v>
                </c:pt>
                <c:pt idx="50">
                  <c:v>0.00075</c:v>
                </c:pt>
              </c:numCache>
            </c:numRef>
          </c:xVal>
          <c:yVal>
            <c:numRef>
              <c:f>'Sheet1'!$AX$70:$AX$120</c:f>
              <c:numCache>
                <c:formatCode>General</c:formatCode>
                <c:ptCount val="51"/>
                <c:pt idx="0">
                  <c:v>0.666666666666667</c:v>
                </c:pt>
                <c:pt idx="1">
                  <c:v>0.545820502051988</c:v>
                </c:pt>
                <c:pt idx="2">
                  <c:v>0.446880030690426</c:v>
                </c:pt>
                <c:pt idx="3">
                  <c:v>0.365874424062684</c:v>
                </c:pt>
                <c:pt idx="4">
                  <c:v>0.299552642744814</c:v>
                </c:pt>
                <c:pt idx="5">
                  <c:v>0.245252960780962</c:v>
                </c:pt>
                <c:pt idx="6">
                  <c:v>0.200796141274801</c:v>
                </c:pt>
                <c:pt idx="7">
                  <c:v>0.164397975961071</c:v>
                </c:pt>
                <c:pt idx="8">
                  <c:v>0.134597678663104</c:v>
                </c:pt>
                <c:pt idx="9">
                  <c:v>0.110199258814391</c:v>
                </c:pt>
                <c:pt idx="10">
                  <c:v>0.0902235221577418</c:v>
                </c:pt>
                <c:pt idx="11">
                  <c:v>0.0738687722415559</c:v>
                </c:pt>
                <c:pt idx="12">
                  <c:v>0.060478635526275</c:v>
                </c:pt>
                <c:pt idx="13">
                  <c:v>0.0495157188095559</c:v>
                </c:pt>
                <c:pt idx="14">
                  <c:v>0.0405400417501453</c:v>
                </c:pt>
                <c:pt idx="15">
                  <c:v>0.0331913789119093</c:v>
                </c:pt>
                <c:pt idx="16">
                  <c:v>0.0271748026522441</c:v>
                </c:pt>
                <c:pt idx="17">
                  <c:v>0.0222488466402174</c:v>
                </c:pt>
                <c:pt idx="18">
                  <c:v>0.0182158149648617</c:v>
                </c:pt>
                <c:pt idx="19">
                  <c:v>0.0149138479041104</c:v>
                </c:pt>
                <c:pt idx="20">
                  <c:v>0.0122104259258228</c:v>
                </c:pt>
                <c:pt idx="21">
                  <c:v>0.00999705121365181</c:v>
                </c:pt>
                <c:pt idx="22">
                  <c:v>0.00818489326871229</c:v>
                </c:pt>
                <c:pt idx="23">
                  <c:v>0.00670122382975572</c:v>
                </c:pt>
                <c:pt idx="24">
                  <c:v>0.00548649803268002</c:v>
                </c:pt>
                <c:pt idx="25">
                  <c:v>0.00449196466605698</c:v>
                </c:pt>
                <c:pt idx="26">
                  <c:v>0.00367770961384052</c:v>
                </c:pt>
                <c:pt idx="27">
                  <c:v>0.00301105396174178</c:v>
                </c:pt>
                <c:pt idx="28">
                  <c:v>0.00246524247765529</c:v>
                </c:pt>
                <c:pt idx="29">
                  <c:v>0.00201836983025055</c:v>
                </c:pt>
                <c:pt idx="30">
                  <c:v>0.0016525014511109</c:v>
                </c:pt>
                <c:pt idx="31">
                  <c:v>0.00135295375753049</c:v>
                </c:pt>
                <c:pt idx="32">
                  <c:v>0.00110770484878262</c:v>
                </c:pt>
                <c:pt idx="33">
                  <c:v>0.000906912025031929</c:v>
                </c:pt>
                <c:pt idx="34">
                  <c:v>0.00074251676522987</c:v>
                </c:pt>
                <c:pt idx="35">
                  <c:v>0.000607921310369677</c:v>
                </c:pt>
                <c:pt idx="36">
                  <c:v>0.00049772387225112</c:v>
                </c:pt>
                <c:pt idx="37">
                  <c:v>0.000407501840753049</c:v>
                </c:pt>
                <c:pt idx="38">
                  <c:v>0.000333634288960407</c:v>
                </c:pt>
                <c:pt idx="39">
                  <c:v>0.000273156652653191</c:v>
                </c:pt>
                <c:pt idx="40">
                  <c:v>0.000223641751935008</c:v>
                </c:pt>
                <c:pt idx="41">
                  <c:v>0.000183102379981428</c:v>
                </c:pt>
                <c:pt idx="42">
                  <c:v>0.000149911549452566</c:v>
                </c:pt>
                <c:pt idx="43">
                  <c:v>0.000122737195778386</c:v>
                </c:pt>
                <c:pt idx="44">
                  <c:v>0.000100488716730318</c:v>
                </c:pt>
                <c:pt idx="45">
                  <c:v>8.2273202724453e-05</c:v>
                </c:pt>
                <c:pt idx="46">
                  <c:v>6.73596012247289e-05</c:v>
                </c:pt>
                <c:pt idx="47">
                  <c:v>5.51493770377549e-05</c:v>
                </c:pt>
                <c:pt idx="48">
                  <c:v>4.51524909939027e-05</c:v>
                </c:pt>
                <c:pt idx="49">
                  <c:v>3.69677329547846e-05</c:v>
                </c:pt>
                <c:pt idx="50">
                  <c:v>3.02666198416566e-05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Uр,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'Sheet1'!$AW$70:$AW$120</c:f>
              <c:numCache>
                <c:formatCode>General</c:formatCode>
                <c:ptCount val="51"/>
                <c:pt idx="0">
                  <c:v>0</c:v>
                </c:pt>
                <c:pt idx="1">
                  <c:v>1.5e-05</c:v>
                </c:pt>
                <c:pt idx="2">
                  <c:v>3e-05</c:v>
                </c:pt>
                <c:pt idx="3">
                  <c:v>4.5e-05</c:v>
                </c:pt>
                <c:pt idx="4">
                  <c:v>6e-05</c:v>
                </c:pt>
                <c:pt idx="5">
                  <c:v>7.5e-05</c:v>
                </c:pt>
                <c:pt idx="6">
                  <c:v>9e-05</c:v>
                </c:pt>
                <c:pt idx="7">
                  <c:v>0.000105</c:v>
                </c:pt>
                <c:pt idx="8">
                  <c:v>0.00012</c:v>
                </c:pt>
                <c:pt idx="9">
                  <c:v>0.000135</c:v>
                </c:pt>
                <c:pt idx="10">
                  <c:v>0.00015</c:v>
                </c:pt>
                <c:pt idx="11">
                  <c:v>0.000165</c:v>
                </c:pt>
                <c:pt idx="12">
                  <c:v>0.00018</c:v>
                </c:pt>
                <c:pt idx="13">
                  <c:v>0.000195</c:v>
                </c:pt>
                <c:pt idx="14">
                  <c:v>0.00021</c:v>
                </c:pt>
                <c:pt idx="15">
                  <c:v>0.000225</c:v>
                </c:pt>
                <c:pt idx="16">
                  <c:v>0.00024</c:v>
                </c:pt>
                <c:pt idx="17">
                  <c:v>0.000255</c:v>
                </c:pt>
                <c:pt idx="18">
                  <c:v>0.00027</c:v>
                </c:pt>
                <c:pt idx="19">
                  <c:v>0.000285</c:v>
                </c:pt>
                <c:pt idx="20">
                  <c:v>0.0003</c:v>
                </c:pt>
                <c:pt idx="21">
                  <c:v>0.000315</c:v>
                </c:pt>
                <c:pt idx="22">
                  <c:v>0.00033</c:v>
                </c:pt>
                <c:pt idx="23">
                  <c:v>0.000345</c:v>
                </c:pt>
                <c:pt idx="24">
                  <c:v>0.00036</c:v>
                </c:pt>
                <c:pt idx="25">
                  <c:v>0.000375</c:v>
                </c:pt>
                <c:pt idx="26">
                  <c:v>0.00039</c:v>
                </c:pt>
                <c:pt idx="27">
                  <c:v>0.000405</c:v>
                </c:pt>
                <c:pt idx="28">
                  <c:v>0.00042</c:v>
                </c:pt>
                <c:pt idx="29">
                  <c:v>0.000435</c:v>
                </c:pt>
                <c:pt idx="30">
                  <c:v>0.00045</c:v>
                </c:pt>
                <c:pt idx="31">
                  <c:v>0.000465</c:v>
                </c:pt>
                <c:pt idx="32">
                  <c:v>0.00048</c:v>
                </c:pt>
                <c:pt idx="33">
                  <c:v>0.000495</c:v>
                </c:pt>
                <c:pt idx="34">
                  <c:v>0.00051</c:v>
                </c:pt>
                <c:pt idx="35">
                  <c:v>0.000525</c:v>
                </c:pt>
                <c:pt idx="36">
                  <c:v>0.00054</c:v>
                </c:pt>
                <c:pt idx="37">
                  <c:v>0.000555</c:v>
                </c:pt>
                <c:pt idx="38">
                  <c:v>0.00057</c:v>
                </c:pt>
                <c:pt idx="39">
                  <c:v>0.000585</c:v>
                </c:pt>
                <c:pt idx="40">
                  <c:v>0.0006</c:v>
                </c:pt>
                <c:pt idx="41">
                  <c:v>0.000615</c:v>
                </c:pt>
                <c:pt idx="42">
                  <c:v>0.00063</c:v>
                </c:pt>
                <c:pt idx="43">
                  <c:v>0.000645</c:v>
                </c:pt>
                <c:pt idx="44">
                  <c:v>0.00066</c:v>
                </c:pt>
                <c:pt idx="45">
                  <c:v>0.000675</c:v>
                </c:pt>
                <c:pt idx="46">
                  <c:v>0.00069</c:v>
                </c:pt>
                <c:pt idx="47">
                  <c:v>0.000705</c:v>
                </c:pt>
                <c:pt idx="48">
                  <c:v>0.00072</c:v>
                </c:pt>
                <c:pt idx="49">
                  <c:v>0.000735</c:v>
                </c:pt>
                <c:pt idx="50">
                  <c:v>0.00075</c:v>
                </c:pt>
              </c:numCache>
            </c:numRef>
          </c:xVal>
          <c:yVal>
            <c:numRef>
              <c:f>'Sheet1'!$AY$70:$AY$120</c:f>
              <c:numCache>
                <c:formatCode>General</c:formatCode>
                <c:ptCount val="51"/>
                <c:pt idx="0">
                  <c:v>-8</c:v>
                </c:pt>
                <c:pt idx="1">
                  <c:v>-6.54984602462385</c:v>
                </c:pt>
                <c:pt idx="2">
                  <c:v>-5.36256036828511</c:v>
                </c:pt>
                <c:pt idx="3">
                  <c:v>-4.39049308875221</c:v>
                </c:pt>
                <c:pt idx="4">
                  <c:v>-3.59463171293777</c:v>
                </c:pt>
                <c:pt idx="5">
                  <c:v>-2.94303552937154</c:v>
                </c:pt>
                <c:pt idx="6">
                  <c:v>-2.40955369529762</c:v>
                </c:pt>
                <c:pt idx="7">
                  <c:v>-1.97277571153285</c:v>
                </c:pt>
                <c:pt idx="8">
                  <c:v>-1.61517214395724</c:v>
                </c:pt>
                <c:pt idx="9">
                  <c:v>-1.32239110577269</c:v>
                </c:pt>
                <c:pt idx="10">
                  <c:v>-1.0826822658929</c:v>
                </c:pt>
                <c:pt idx="11">
                  <c:v>-0.886425266898671</c:v>
                </c:pt>
                <c:pt idx="12">
                  <c:v>-0.7257436263153</c:v>
                </c:pt>
                <c:pt idx="13">
                  <c:v>-0.594188625714671</c:v>
                </c:pt>
                <c:pt idx="14">
                  <c:v>-0.486480501001744</c:v>
                </c:pt>
                <c:pt idx="15">
                  <c:v>-0.398296546942911</c:v>
                </c:pt>
                <c:pt idx="16">
                  <c:v>-0.32609763182693</c:v>
                </c:pt>
                <c:pt idx="17">
                  <c:v>-0.266986159682609</c:v>
                </c:pt>
                <c:pt idx="18">
                  <c:v>-0.218589779578341</c:v>
                </c:pt>
                <c:pt idx="19">
                  <c:v>-0.178966174849325</c:v>
                </c:pt>
                <c:pt idx="20">
                  <c:v>-0.146525111109873</c:v>
                </c:pt>
                <c:pt idx="21">
                  <c:v>-0.119964614563822</c:v>
                </c:pt>
                <c:pt idx="22">
                  <c:v>-0.0982187192245475</c:v>
                </c:pt>
                <c:pt idx="23">
                  <c:v>-0.0804146859570687</c:v>
                </c:pt>
                <c:pt idx="24">
                  <c:v>-0.0658379763921603</c:v>
                </c:pt>
                <c:pt idx="25">
                  <c:v>-0.0539035759926837</c:v>
                </c:pt>
                <c:pt idx="26">
                  <c:v>-0.0441325153660862</c:v>
                </c:pt>
                <c:pt idx="27">
                  <c:v>-0.0361326475409014</c:v>
                </c:pt>
                <c:pt idx="28">
                  <c:v>-0.0295829097318635</c:v>
                </c:pt>
                <c:pt idx="29">
                  <c:v>-0.0242204379630065</c:v>
                </c:pt>
                <c:pt idx="30">
                  <c:v>-0.0198300174133309</c:v>
                </c:pt>
                <c:pt idx="31">
                  <c:v>-0.0162354450903659</c:v>
                </c:pt>
                <c:pt idx="32">
                  <c:v>-0.0132924581853915</c:v>
                </c:pt>
                <c:pt idx="33">
                  <c:v>-0.0108829443003831</c:v>
                </c:pt>
                <c:pt idx="34">
                  <c:v>-0.00891020118275843</c:v>
                </c:pt>
                <c:pt idx="35">
                  <c:v>-0.00729505572443613</c:v>
                </c:pt>
                <c:pt idx="36">
                  <c:v>-0.00597268646701344</c:v>
                </c:pt>
                <c:pt idx="37">
                  <c:v>-0.00489002208903658</c:v>
                </c:pt>
                <c:pt idx="38">
                  <c:v>-0.00400361146752489</c:v>
                </c:pt>
                <c:pt idx="39">
                  <c:v>-0.0032778798318383</c:v>
                </c:pt>
                <c:pt idx="40">
                  <c:v>-0.00268370102322009</c:v>
                </c:pt>
                <c:pt idx="41">
                  <c:v>-0.00219722855977714</c:v>
                </c:pt>
                <c:pt idx="42">
                  <c:v>-0.00179893859343079</c:v>
                </c:pt>
                <c:pt idx="43">
                  <c:v>-0.00147284634934063</c:v>
                </c:pt>
                <c:pt idx="44">
                  <c:v>-0.00120586460076381</c:v>
                </c:pt>
                <c:pt idx="45">
                  <c:v>-0.000987278432693436</c:v>
                </c:pt>
                <c:pt idx="46">
                  <c:v>-0.000808315214696747</c:v>
                </c:pt>
                <c:pt idx="47">
                  <c:v>-0.000661792524453059</c:v>
                </c:pt>
                <c:pt idx="48">
                  <c:v>-0.000541829891926832</c:v>
                </c:pt>
                <c:pt idx="49">
                  <c:v>-0.000443612795457416</c:v>
                </c:pt>
                <c:pt idx="50">
                  <c:v>-0.000363199438099879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Iр,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Uр,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Iз(t) — три режима на одном графике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базовый (L, r)</c:v>
          </c:tx>
          <c:spPr>
            <a:ln w="25000">
              <a:solidFill>
                <a:srgbClr val="C00000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'Sheet1'!$B$10:$B$60</c:f>
              <c:numCache>
                <c:formatCode>General</c:formatCode>
                <c:ptCount val="51"/>
                <c:pt idx="0">
                  <c:v>0</c:v>
                </c:pt>
                <c:pt idx="1">
                  <c:v>0.349750524699881</c:v>
                </c:pt>
                <c:pt idx="2">
                  <c:v>0.56188494118094</c:v>
                </c:pt>
                <c:pt idx="3">
                  <c:v>0.690550968756951</c:v>
                </c:pt>
                <c:pt idx="4">
                  <c:v>0.768590859345233</c:v>
                </c:pt>
                <c:pt idx="5">
                  <c:v>0.815924445667646</c:v>
                </c:pt>
                <c:pt idx="6">
                  <c:v>0.844633717006343</c:v>
                </c:pt>
                <c:pt idx="7">
                  <c:v>0.862046770291272</c:v>
                </c:pt>
                <c:pt idx="8">
                  <c:v>0.872608320987792</c:v>
                </c:pt>
                <c:pt idx="9">
                  <c:v>0.87901422529934</c:v>
                </c:pt>
                <c:pt idx="10">
                  <c:v>0.88289960266748</c:v>
                </c:pt>
                <c:pt idx="11">
                  <c:v>0.88525620316581</c:v>
                </c:pt>
                <c:pt idx="12">
                  <c:v>0.886685553620741</c:v>
                </c:pt>
                <c:pt idx="13">
                  <c:v>0.887552498495131</c:v>
                </c:pt>
                <c:pt idx="14">
                  <c:v>0.888078327141729</c:v>
                </c:pt>
                <c:pt idx="15">
                  <c:v>0.888397258337646</c:v>
                </c:pt>
                <c:pt idx="16">
                  <c:v>0.888590699886309</c:v>
                </c:pt>
                <c:pt idx="17">
                  <c:v>0.888708028116435</c:v>
                </c:pt>
                <c:pt idx="18">
                  <c:v>0.888779191285256</c:v>
                </c:pt>
                <c:pt idx="19">
                  <c:v>0.888822353928989</c:v>
                </c:pt>
                <c:pt idx="20">
                  <c:v>0.888848533395767</c:v>
                </c:pt>
                <c:pt idx="21">
                  <c:v>0.888864412045022</c:v>
                </c:pt>
                <c:pt idx="22">
                  <c:v>0.888874042932631</c:v>
                </c:pt>
                <c:pt idx="23">
                  <c:v>0.888879884361246</c:v>
                </c:pt>
                <c:pt idx="24">
                  <c:v>0.888883427366797</c:v>
                </c:pt>
                <c:pt idx="25">
                  <c:v>0.888885576308291</c:v>
                </c:pt>
                <c:pt idx="26">
                  <c:v>0.888886879707194</c:v>
                </c:pt>
                <c:pt idx="27">
                  <c:v>0.88888767025859</c:v>
                </c:pt>
                <c:pt idx="28">
                  <c:v>0.88888814975225</c:v>
                </c:pt>
                <c:pt idx="29">
                  <c:v>0.888888440579855</c:v>
                </c:pt>
                <c:pt idx="30">
                  <c:v>0.888888616975715</c:v>
                </c:pt>
                <c:pt idx="31">
                  <c:v>0.888888723965212</c:v>
                </c:pt>
                <c:pt idx="32">
                  <c:v>0.888888788857622</c:v>
                </c:pt>
                <c:pt idx="33">
                  <c:v>0.888888828216859</c:v>
                </c:pt>
                <c:pt idx="34">
                  <c:v>0.888888852089442</c:v>
                </c:pt>
                <c:pt idx="35">
                  <c:v>0.888888866568896</c:v>
                </c:pt>
                <c:pt idx="36">
                  <c:v>0.888888875351129</c:v>
                </c:pt>
                <c:pt idx="37">
                  <c:v>0.888888880677822</c:v>
                </c:pt>
                <c:pt idx="38">
                  <c:v>0.888888883908625</c:v>
                </c:pt>
                <c:pt idx="39">
                  <c:v>0.888888885868206</c:v>
                </c:pt>
                <c:pt idx="40">
                  <c:v>0.888888887056752</c:v>
                </c:pt>
                <c:pt idx="41">
                  <c:v>0.888888887777642</c:v>
                </c:pt>
                <c:pt idx="42">
                  <c:v>0.888888888214884</c:v>
                </c:pt>
                <c:pt idx="43">
                  <c:v>0.888888888480084</c:v>
                </c:pt>
                <c:pt idx="44">
                  <c:v>0.888888888640936</c:v>
                </c:pt>
                <c:pt idx="45">
                  <c:v>0.888888888738498</c:v>
                </c:pt>
                <c:pt idx="46">
                  <c:v>0.888888888797672</c:v>
                </c:pt>
                <c:pt idx="47">
                  <c:v>0.888888888833563</c:v>
                </c:pt>
                <c:pt idx="48">
                  <c:v>0.888888888855332</c:v>
                </c:pt>
                <c:pt idx="49">
                  <c:v>0.888888888868536</c:v>
                </c:pt>
                <c:pt idx="50">
                  <c:v>0.888888888876544</c:v>
                </c:pt>
              </c:numCache>
            </c:numRef>
          </c:yVal>
          <c:smooth val="1"/>
        </c:ser>
        <c:ser>
          <c:idx val="1"/>
          <c:order val="1"/>
          <c:tx>
            <c:v>L меньше в 3 раза</c:v>
          </c:tx>
          <c:spPr>
            <a:ln w="25000">
              <a:solidFill>
                <a:srgbClr val="ED7D31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'Sheet1'!$U$10:$U$60</c:f>
              <c:numCache>
                <c:formatCode>General</c:formatCode>
                <c:ptCount val="51"/>
                <c:pt idx="0">
                  <c:v>0</c:v>
                </c:pt>
                <c:pt idx="1">
                  <c:v>0.690550968756951</c:v>
                </c:pt>
                <c:pt idx="2">
                  <c:v>0.844633717006343</c:v>
                </c:pt>
                <c:pt idx="3">
                  <c:v>0.87901422529934</c:v>
                </c:pt>
                <c:pt idx="4">
                  <c:v>0.886685553620741</c:v>
                </c:pt>
                <c:pt idx="5">
                  <c:v>0.888397258337646</c:v>
                </c:pt>
                <c:pt idx="6">
                  <c:v>0.888779191285256</c:v>
                </c:pt>
                <c:pt idx="7">
                  <c:v>0.888864412045022</c:v>
                </c:pt>
                <c:pt idx="8">
                  <c:v>0.888883427366797</c:v>
                </c:pt>
                <c:pt idx="9">
                  <c:v>0.88888767025859</c:v>
                </c:pt>
                <c:pt idx="10">
                  <c:v>0.888888616975715</c:v>
                </c:pt>
                <c:pt idx="11">
                  <c:v>0.888888828216859</c:v>
                </c:pt>
                <c:pt idx="12">
                  <c:v>0.888888875351129</c:v>
                </c:pt>
                <c:pt idx="13">
                  <c:v>0.888888885868206</c:v>
                </c:pt>
                <c:pt idx="14">
                  <c:v>0.888888888214884</c:v>
                </c:pt>
                <c:pt idx="15">
                  <c:v>0.888888888738498</c:v>
                </c:pt>
                <c:pt idx="16">
                  <c:v>0.888888888855332</c:v>
                </c:pt>
                <c:pt idx="17">
                  <c:v>0.888888888881401</c:v>
                </c:pt>
                <c:pt idx="18">
                  <c:v>0.888888888887218</c:v>
                </c:pt>
                <c:pt idx="19">
                  <c:v>0.888888888888516</c:v>
                </c:pt>
                <c:pt idx="20">
                  <c:v>0.888888888888806</c:v>
                </c:pt>
                <c:pt idx="21">
                  <c:v>0.88888888888887</c:v>
                </c:pt>
                <c:pt idx="22">
                  <c:v>0.888888888888885</c:v>
                </c:pt>
                <c:pt idx="23">
                  <c:v>0.888888888888888</c:v>
                </c:pt>
                <c:pt idx="24">
                  <c:v>0.888888888888889</c:v>
                </c:pt>
                <c:pt idx="25">
                  <c:v>0.888888888888889</c:v>
                </c:pt>
                <c:pt idx="26">
                  <c:v>0.888888888888889</c:v>
                </c:pt>
                <c:pt idx="27">
                  <c:v>0.888888888888889</c:v>
                </c:pt>
                <c:pt idx="28">
                  <c:v>0.888888888888889</c:v>
                </c:pt>
                <c:pt idx="29">
                  <c:v>0.888888888888889</c:v>
                </c:pt>
                <c:pt idx="30">
                  <c:v>0.888888888888889</c:v>
                </c:pt>
                <c:pt idx="31">
                  <c:v>0.888888888888889</c:v>
                </c:pt>
                <c:pt idx="32">
                  <c:v>0.888888888888889</c:v>
                </c:pt>
                <c:pt idx="33">
                  <c:v>0.888888888888889</c:v>
                </c:pt>
                <c:pt idx="34">
                  <c:v>0.888888888888889</c:v>
                </c:pt>
                <c:pt idx="35">
                  <c:v>0.888888888888889</c:v>
                </c:pt>
                <c:pt idx="36">
                  <c:v>0.888888888888889</c:v>
                </c:pt>
                <c:pt idx="37">
                  <c:v>0.888888888888889</c:v>
                </c:pt>
                <c:pt idx="38">
                  <c:v>0.888888888888889</c:v>
                </c:pt>
                <c:pt idx="39">
                  <c:v>0.888888888888889</c:v>
                </c:pt>
                <c:pt idx="40">
                  <c:v>0.888888888888889</c:v>
                </c:pt>
                <c:pt idx="41">
                  <c:v>0.888888888888889</c:v>
                </c:pt>
                <c:pt idx="42">
                  <c:v>0.888888888888889</c:v>
                </c:pt>
                <c:pt idx="43">
                  <c:v>0.888888888888889</c:v>
                </c:pt>
                <c:pt idx="44">
                  <c:v>0.888888888888889</c:v>
                </c:pt>
                <c:pt idx="45">
                  <c:v>0.888888888888889</c:v>
                </c:pt>
                <c:pt idx="46">
                  <c:v>0.888888888888889</c:v>
                </c:pt>
                <c:pt idx="47">
                  <c:v>0.888888888888889</c:v>
                </c:pt>
                <c:pt idx="48">
                  <c:v>0.888888888888889</c:v>
                </c:pt>
                <c:pt idx="49">
                  <c:v>0.888888888888889</c:v>
                </c:pt>
                <c:pt idx="50">
                  <c:v>0.888888888888889</c:v>
                </c:pt>
              </c:numCache>
            </c:numRef>
          </c:yVal>
          <c:smooth val="1"/>
        </c:ser>
        <c:ser>
          <c:idx val="2"/>
          <c:order val="2"/>
          <c:tx>
            <c:v>r меньше в 2 раза</c:v>
          </c:tx>
          <c:spPr>
            <a:ln w="25000">
              <a:solidFill>
                <a:srgbClr val="2E75B6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'Sheet1'!$AP$10:$AP$60</c:f>
              <c:numCache>
                <c:formatCode>General</c:formatCode>
                <c:ptCount val="51"/>
                <c:pt idx="0">
                  <c:v>0</c:v>
                </c:pt>
                <c:pt idx="1">
                  <c:v>0.393243052317502</c:v>
                </c:pt>
                <c:pt idx="2">
                  <c:v>0.699501049399763</c:v>
                </c:pt>
                <c:pt idx="3">
                  <c:v>0.938015017349307</c:v>
                </c:pt>
                <c:pt idx="4">
                  <c:v>1.12376988236188</c:v>
                </c:pt>
                <c:pt idx="5">
                  <c:v>1.268435916693</c:v>
                </c:pt>
                <c:pt idx="6">
                  <c:v>1.3811019375139</c:v>
                </c:pt>
                <c:pt idx="7">
                  <c:v>1.46884632275476</c:v>
                </c:pt>
                <c:pt idx="8">
                  <c:v>1.53718171869047</c:v>
                </c:pt>
                <c:pt idx="9">
                  <c:v>1.59040137855669</c:v>
                </c:pt>
                <c:pt idx="10">
                  <c:v>1.63184889133529</c:v>
                </c:pt>
                <c:pt idx="11">
                  <c:v>1.66412824674363</c:v>
                </c:pt>
                <c:pt idx="12">
                  <c:v>1.68926743401269</c:v>
                </c:pt>
                <c:pt idx="13">
                  <c:v>1.70884585274361</c:v>
                </c:pt>
                <c:pt idx="14">
                  <c:v>1.72409354058254</c:v>
                </c:pt>
                <c:pt idx="15">
                  <c:v>1.73596845181154</c:v>
                </c:pt>
                <c:pt idx="16">
                  <c:v>1.74521664197558</c:v>
                </c:pt>
                <c:pt idx="17">
                  <c:v>1.75241913971733</c:v>
                </c:pt>
                <c:pt idx="18">
                  <c:v>1.75802845059868</c:v>
                </c:pt>
                <c:pt idx="19">
                  <c:v>1.76239698630556</c:v>
                </c:pt>
                <c:pt idx="20">
                  <c:v>1.76579920533496</c:v>
                </c:pt>
                <c:pt idx="21">
                  <c:v>1.76844885617923</c:v>
                </c:pt>
                <c:pt idx="22">
                  <c:v>1.77051240633162</c:v>
                </c:pt>
                <c:pt idx="23">
                  <c:v>1.7721195008062</c:v>
                </c:pt>
                <c:pt idx="24">
                  <c:v>1.77337110724148</c:v>
                </c:pt>
                <c:pt idx="25">
                  <c:v>1.77434585931337</c:v>
                </c:pt>
                <c:pt idx="26">
                  <c:v>1.77510499699026</c:v>
                </c:pt>
                <c:pt idx="27">
                  <c:v>1.77569621400748</c:v>
                </c:pt>
                <c:pt idx="28">
                  <c:v>1.77615665428346</c:v>
                </c:pt>
                <c:pt idx="29">
                  <c:v>1.77651524553095</c:v>
                </c:pt>
                <c:pt idx="30">
                  <c:v>1.77679451667529</c:v>
                </c:pt>
                <c:pt idx="31">
                  <c:v>1.7770120132612</c:v>
                </c:pt>
                <c:pt idx="32">
                  <c:v>1.77718139977262</c:v>
                </c:pt>
                <c:pt idx="33">
                  <c:v>1.77731331812035</c:v>
                </c:pt>
                <c:pt idx="34">
                  <c:v>1.77741605623287</c:v>
                </c:pt>
                <c:pt idx="35">
                  <c:v>1.77749606875535</c:v>
                </c:pt>
                <c:pt idx="36">
                  <c:v>1.77755838257051</c:v>
                </c:pt>
                <c:pt idx="37">
                  <c:v>1.77760691261856</c:v>
                </c:pt>
                <c:pt idx="38">
                  <c:v>1.77764470785798</c:v>
                </c:pt>
                <c:pt idx="39">
                  <c:v>1.77767414282003</c:v>
                </c:pt>
                <c:pt idx="40">
                  <c:v>1.77769706679153</c:v>
                </c:pt>
                <c:pt idx="41">
                  <c:v>1.77771491999849</c:v>
                </c:pt>
                <c:pt idx="42">
                  <c:v>1.77772882409004</c:v>
                </c:pt>
                <c:pt idx="43">
                  <c:v>1.77773965260744</c:v>
                </c:pt>
                <c:pt idx="44">
                  <c:v>1.77774808586526</c:v>
                </c:pt>
                <c:pt idx="45">
                  <c:v>1.77775465369306</c:v>
                </c:pt>
                <c:pt idx="46">
                  <c:v>1.77775976872249</c:v>
                </c:pt>
                <c:pt idx="47">
                  <c:v>1.77776375231142</c:v>
                </c:pt>
                <c:pt idx="48">
                  <c:v>1.77776685473359</c:v>
                </c:pt>
                <c:pt idx="49">
                  <c:v>1.77776927090241</c:v>
                </c:pt>
                <c:pt idx="50">
                  <c:v>1.77777115261658</c:v>
                </c:pt>
              </c:numCache>
            </c:numRef>
          </c:yVal>
          <c:smooth val="1"/>
        </c:ser>
        <c:axId val="1"/>
        <c:axId val="2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Iз,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/Relationships>
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<Relationship Id="rId5" Type="http://schemas.openxmlformats.org/officeDocument/2006/relationships/chart" Target="../charts/chart12.xml"/><Relationship Id="rId6" Type="http://schemas.openxmlformats.org/officeDocument/2006/relationships/chart" Target="../charts/chart13.xml"/><Relationship Id="rId7" Type="http://schemas.openxmlformats.org/officeDocument/2006/relationships/chart" Target="../charts/chart14.xml"/></Relationships>
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12</xdr:col>
      <xdr:colOff>0</xdr:colOff>
      <xdr:row>20</xdr:row>
      <xdr:rowOff>0</xdr:rowOff>
    </xdr:to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2</xdr:row>
      <xdr:rowOff>0</xdr:rowOff>
    </xdr:from>
    <xdr:to>
      <xdr:col>25</xdr:col>
      <xdr:colOff>0</xdr:colOff>
      <xdr:row>20</xdr:row>
      <xdr:rowOff>0</xdr:rowOff>
    </xdr:to>
    <xdr:graphicFrame macro="">
      <xdr:nvGraphicFramePr>
        <xdr:cNvPr id="3" name="Chart 2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12</xdr:col>
      <xdr:colOff>0</xdr:colOff>
      <xdr:row>38</xdr:row>
      <xdr:rowOff>0</xdr:rowOff>
    </xdr:to>
    <xdr:graphicFrame macro="">
      <xdr:nvGraphicFramePr>
        <xdr:cNvPr id="4" name="Chart 3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0</xdr:colOff>
      <xdr:row>21</xdr:row>
      <xdr:rowOff>0</xdr:rowOff>
    </xdr:from>
    <xdr:to>
      <xdr:col>25</xdr:col>
      <xdr:colOff>0</xdr:colOff>
      <xdr:row>38</xdr:row>
      <xdr:rowOff>0</xdr:rowOff>
    </xdr:to>
    <xdr:graphicFrame macro="">
      <xdr:nvGraphicFramePr>
        <xdr:cNvPr id="5" name="Chart 4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39</xdr:row>
      <xdr:rowOff>0</xdr:rowOff>
    </xdr:from>
    <xdr:to>
      <xdr:col>12</xdr:col>
      <xdr:colOff>0</xdr:colOff>
      <xdr:row>56</xdr:row>
      <xdr:rowOff>0</xdr:rowOff>
    </xdr:to>
    <xdr:graphicFrame macro="">
      <xdr:nvGraphicFramePr>
        <xdr:cNvPr id="6" name="Chart 5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0</xdr:colOff>
      <xdr:row>39</xdr:row>
      <xdr:rowOff>0</xdr:rowOff>
    </xdr:from>
    <xdr:to>
      <xdr:col>25</xdr:col>
      <xdr:colOff>0</xdr:colOff>
      <xdr:row>56</xdr:row>
      <xdr:rowOff>0</xdr:rowOff>
    </xdr:to>
    <xdr:graphicFrame macro="">
      <xdr:nvGraphicFramePr>
        <xdr:cNvPr id="7" name="Chart 6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57</xdr:row>
      <xdr:rowOff>0</xdr:rowOff>
    </xdr:from>
    <xdr:to>
      <xdr:col>25</xdr:col>
      <xdr:colOff>0</xdr:colOff>
      <xdr:row>74</xdr:row>
      <xdr:rowOff>0</xdr:rowOff>
    </xdr:to>
    <xdr:graphicFrame macro="">
      <xdr:nvGraphicFramePr>
        <xdr:cNvPr id="8" name="Chart 7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11</xdr:row>
      <xdr:rowOff>0</xdr:rowOff>
    </xdr:from>
    <xdr:to>
      <xdr:col>18</xdr:col>
      <xdr:colOff>0</xdr:colOff>
      <xdr:row>26</xdr:row>
      <xdr:rowOff>0</xdr:rowOff>
    </xdr:to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27</xdr:row>
      <xdr:rowOff>0</xdr:rowOff>
    </xdr:from>
    <xdr:to>
      <xdr:col>18</xdr:col>
      <xdr:colOff>0</xdr:colOff>
      <xdr:row>44</xdr:row>
      <xdr:rowOff>0</xdr:rowOff>
    </xdr:to>
    <xdr:graphicFrame macro="">
      <xdr:nvGraphicFramePr>
        <xdr:cNvPr id="3" name="Chart 2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0</xdr:colOff>
      <xdr:row>11</xdr:row>
      <xdr:rowOff>0</xdr:rowOff>
    </xdr:from>
    <xdr:to>
      <xdr:col>37</xdr:col>
      <xdr:colOff>0</xdr:colOff>
      <xdr:row>26</xdr:row>
      <xdr:rowOff>0</xdr:rowOff>
    </xdr:to>
    <xdr:graphicFrame macro="">
      <xdr:nvGraphicFramePr>
        <xdr:cNvPr id="4" name="Chart 3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0</xdr:colOff>
      <xdr:row>27</xdr:row>
      <xdr:rowOff>0</xdr:rowOff>
    </xdr:from>
    <xdr:to>
      <xdr:col>37</xdr:col>
      <xdr:colOff>0</xdr:colOff>
      <xdr:row>44</xdr:row>
      <xdr:rowOff>0</xdr:rowOff>
    </xdr:to>
    <xdr:graphicFrame macro="">
      <xdr:nvGraphicFramePr>
        <xdr:cNvPr id="5" name="Chart 4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46</xdr:col>
      <xdr:colOff>0</xdr:colOff>
      <xdr:row>11</xdr:row>
      <xdr:rowOff>0</xdr:rowOff>
    </xdr:from>
    <xdr:to>
      <xdr:col>58</xdr:col>
      <xdr:colOff>0</xdr:colOff>
      <xdr:row>26</xdr:row>
      <xdr:rowOff>0</xdr:rowOff>
    </xdr:to>
    <xdr:graphicFrame macro="">
      <xdr:nvGraphicFramePr>
        <xdr:cNvPr id="6" name="Chart 5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46</xdr:col>
      <xdr:colOff>0</xdr:colOff>
      <xdr:row>27</xdr:row>
      <xdr:rowOff>0</xdr:rowOff>
    </xdr:from>
    <xdr:to>
      <xdr:col>58</xdr:col>
      <xdr:colOff>0</xdr:colOff>
      <xdr:row>44</xdr:row>
      <xdr:rowOff>0</xdr:rowOff>
    </xdr:to>
    <xdr:graphicFrame macro="">
      <xdr:nvGraphicFramePr>
        <xdr:cNvPr id="7" name="Chart 6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0</xdr:colOff>
      <xdr:row>45</xdr:row>
      <xdr:rowOff>0</xdr:rowOff>
    </xdr:from>
    <xdr:to>
      <xdr:col>20</xdr:col>
      <xdr:colOff>0</xdr:colOff>
      <xdr:row>62</xdr:row>
      <xdr:rowOff>0</xdr:rowOff>
    </xdr:to>
    <xdr:graphicFrame macro="">
      <xdr:nvGraphicFramePr>
        <xdr:cNvPr id="8" name="Chart 7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
</file>

<file path=xl/worksheets/sheet1.xml><?xml version="1.0" encoding="utf-8"?>
<worksheet xmlns="http://schemas.openxmlformats.org/spreadsheetml/2006/main">
  <sheetPr>
    <tabColor rgb="00C45911"/>
    <outlinePr summaryBelow="1" summaryRight="1"/>
    <pageSetUpPr/>
  </sheetPr>
  <dimension ref="A1:Y2"/>
  <sheetViews>
    <sheetView showGridLines="0" zoomScale="90" workbookViewId="0">
      <selection activeCell="A1" sqref="A1"/>
    </sheetView>
  </sheetViews>
  <sheetFormatPr baseColWidth="8" defaultRowHeight="15"/>
  <cols>
    <col width="4.2" customWidth="1" min="1" max="1"/>
    <col width="4.2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</cols>
  <sheetData>
    <row r="1" ht="22" customHeight="1">
      <c r="A1" s="1" t="inlineStr">
        <is>
          <t>Заряд и разряд катушки — графики Excel (ряды из формул на листе Sheet1)</t>
        </is>
      </c>
    </row>
    <row r="2">
      <c r="A2" s="2" t="inlineStr">
        <is>
          <t>Оранжевый — ток, синий — напряжение. Дата работы: 2026.</t>
        </is>
      </c>
    </row>
  </sheetData>
  <mergeCells count="1"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BC140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4" customWidth="1" min="4" max="4"/>
    <col width="14" customWidth="1" min="5" max="5"/>
    <col width="22" customWidth="1" min="6" max="6"/>
    <col width="14" customWidth="1" min="7" max="7"/>
    <col width="18" customWidth="1" min="8" max="8"/>
    <col width="12" customWidth="1" min="9" max="9"/>
    <col width="12" customWidth="1" min="10" max="10"/>
    <col width="12" customWidth="1" min="11" max="11"/>
    <col width="14" customWidth="1" min="20" max="20"/>
    <col width="16" customWidth="1" min="21" max="21"/>
    <col width="12" customWidth="1" min="22" max="22"/>
    <col width="14" customWidth="1" min="23" max="23"/>
    <col width="14" customWidth="1" min="24" max="24"/>
    <col width="22" customWidth="1" min="25" max="25"/>
    <col width="14" customWidth="1" min="26" max="26"/>
    <col width="18" customWidth="1" min="27" max="27"/>
    <col width="12" customWidth="1" min="28" max="28"/>
    <col width="12" customWidth="1" min="29" max="29"/>
    <col width="12" customWidth="1" min="30" max="30"/>
    <col width="14" customWidth="1" min="41" max="41"/>
    <col width="16" customWidth="1" min="42" max="42"/>
    <col width="12" customWidth="1" min="43" max="43"/>
    <col width="14" customWidth="1" min="44" max="44"/>
    <col width="14" customWidth="1" min="45" max="45"/>
    <col width="22" customWidth="1" min="46" max="46"/>
    <col width="14" customWidth="1" min="47" max="47"/>
    <col width="18" customWidth="1" min="48" max="48"/>
    <col width="12" customWidth="1" min="49" max="49"/>
    <col width="12" customWidth="1" min="50" max="50"/>
    <col width="12" customWidth="1" min="51" max="51"/>
  </cols>
  <sheetData>
    <row r="1" ht="18" customHeight="1">
      <c r="A1" s="3" t="inlineStr">
        <is>
          <t>Исходные данные</t>
        </is>
      </c>
      <c r="B1" s="4" t="n"/>
      <c r="C1" s="4" t="n"/>
      <c r="D1" s="5" t="n"/>
      <c r="E1" s="5" t="n"/>
      <c r="F1" s="6" t="inlineStr">
        <is>
          <t>Базовый режим</t>
        </is>
      </c>
      <c r="G1" s="5" t="n"/>
      <c r="H1" s="7" t="inlineStr">
        <is>
          <t>Δtр = 10τр/(n-1)</t>
        </is>
      </c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3" t="inlineStr">
        <is>
          <t>Исходные данные</t>
        </is>
      </c>
      <c r="U1" s="4" t="n"/>
      <c r="V1" s="4" t="n"/>
      <c r="W1" s="5" t="n"/>
      <c r="X1" s="5" t="n"/>
      <c r="Y1" s="6" t="inlineStr">
        <is>
          <t>L меньше в 3 раза</t>
        </is>
      </c>
      <c r="Z1" s="5" t="n"/>
      <c r="AA1" s="7" t="inlineStr">
        <is>
          <t>Δtр = 10τр/(n-1)</t>
        </is>
      </c>
      <c r="AB1" s="5" t="n"/>
      <c r="AC1" s="5" t="n"/>
      <c r="AD1" s="5" t="n"/>
      <c r="AE1" s="5" t="n"/>
      <c r="AF1" s="5" t="n"/>
      <c r="AG1" s="5" t="n"/>
      <c r="AH1" s="5" t="n"/>
      <c r="AI1" s="5" t="n"/>
      <c r="AJ1" s="5" t="n"/>
      <c r="AK1" s="5" t="n"/>
      <c r="AL1" s="5" t="n"/>
      <c r="AM1" s="5" t="n"/>
      <c r="AN1" s="5" t="n"/>
      <c r="AO1" s="3" t="inlineStr">
        <is>
          <t>Исходные данные</t>
        </is>
      </c>
      <c r="AP1" s="4" t="n"/>
      <c r="AQ1" s="4" t="n"/>
      <c r="AR1" s="5" t="n"/>
      <c r="AS1" s="5" t="n"/>
      <c r="AT1" s="6" t="inlineStr">
        <is>
          <t>r/2 и R/10</t>
        </is>
      </c>
      <c r="AU1" s="5" t="n"/>
      <c r="AV1" s="7" t="inlineStr">
        <is>
          <t>Δtр = 10τр/(n-1)</t>
        </is>
      </c>
      <c r="AW1" s="5" t="n"/>
      <c r="AX1" s="5" t="n"/>
      <c r="AY1" s="5" t="n"/>
      <c r="AZ1" s="5" t="n"/>
      <c r="BA1" s="5" t="n"/>
      <c r="BB1" s="5" t="n"/>
      <c r="BC1" s="5" t="n"/>
    </row>
    <row r="2">
      <c r="A2" s="3" t="inlineStr">
        <is>
          <t>Величина</t>
        </is>
      </c>
      <c r="B2" s="3" t="inlineStr">
        <is>
          <t>Значение</t>
        </is>
      </c>
      <c r="C2" s="3" t="inlineStr">
        <is>
          <t>Размерность</t>
        </is>
      </c>
      <c r="D2" s="5" t="n"/>
      <c r="E2" s="5" t="n"/>
      <c r="F2" s="5" t="inlineStr">
        <is>
          <t>Δt</t>
        </is>
      </c>
      <c r="G2" s="8" t="n">
        <v>5e-05</v>
      </c>
      <c r="H2" s="9">
        <f>10*$B$8/50</f>
        <v/>
      </c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3" t="inlineStr">
        <is>
          <t>Величина</t>
        </is>
      </c>
      <c r="U2" s="3" t="inlineStr">
        <is>
          <t>Значение</t>
        </is>
      </c>
      <c r="V2" s="3" t="inlineStr">
        <is>
          <t>Размерность</t>
        </is>
      </c>
      <c r="W2" s="5" t="n"/>
      <c r="X2" s="5" t="n"/>
      <c r="Y2" s="5" t="inlineStr">
        <is>
          <t>Δt</t>
        </is>
      </c>
      <c r="Z2" s="8" t="n">
        <v>5e-05</v>
      </c>
      <c r="AA2" s="9">
        <f>10*$U$8/50</f>
        <v/>
      </c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3" t="inlineStr">
        <is>
          <t>Величина</t>
        </is>
      </c>
      <c r="AP2" s="3" t="inlineStr">
        <is>
          <t>Значение</t>
        </is>
      </c>
      <c r="AQ2" s="3" t="inlineStr">
        <is>
          <t>Размерность</t>
        </is>
      </c>
      <c r="AR2" s="5" t="n"/>
      <c r="AS2" s="5" t="n"/>
      <c r="AT2" s="5" t="inlineStr">
        <is>
          <t>Δt</t>
        </is>
      </c>
      <c r="AU2" s="8" t="n">
        <v>5e-05</v>
      </c>
      <c r="AV2" s="9">
        <f>10*$AP$8/50</f>
        <v/>
      </c>
      <c r="AW2" s="5" t="n"/>
      <c r="AX2" s="5" t="n"/>
      <c r="AY2" s="5" t="n"/>
      <c r="AZ2" s="5" t="n"/>
      <c r="BA2" s="5" t="n"/>
      <c r="BB2" s="5" t="n"/>
      <c r="BC2" s="5" t="n"/>
    </row>
    <row r="3">
      <c r="A3" s="10" t="inlineStr">
        <is>
          <t>E</t>
        </is>
      </c>
      <c r="B3" s="11" t="n">
        <v>8</v>
      </c>
      <c r="C3" s="12" t="inlineStr">
        <is>
          <t>В</t>
        </is>
      </c>
      <c r="D3" s="5" t="n"/>
      <c r="E3" s="5" t="n"/>
      <c r="F3" s="5" t="inlineStr">
        <is>
          <t>шаг</t>
        </is>
      </c>
      <c r="G3" s="5" t="inlineStr">
        <is>
          <t>с</t>
        </is>
      </c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10" t="inlineStr">
        <is>
          <t>E</t>
        </is>
      </c>
      <c r="U3" s="11" t="n">
        <v>8</v>
      </c>
      <c r="V3" s="12" t="inlineStr">
        <is>
          <t>В</t>
        </is>
      </c>
      <c r="W3" s="5" t="n"/>
      <c r="X3" s="5" t="n"/>
      <c r="Y3" s="5" t="inlineStr">
        <is>
          <t>шаг</t>
        </is>
      </c>
      <c r="Z3" s="5" t="inlineStr">
        <is>
          <t>с</t>
        </is>
      </c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10" t="inlineStr">
        <is>
          <t>E</t>
        </is>
      </c>
      <c r="AP3" s="11" t="n">
        <v>8</v>
      </c>
      <c r="AQ3" s="12" t="inlineStr">
        <is>
          <t>В</t>
        </is>
      </c>
      <c r="AR3" s="5" t="n"/>
      <c r="AS3" s="5" t="n"/>
      <c r="AT3" s="5" t="inlineStr">
        <is>
          <t>шаг</t>
        </is>
      </c>
      <c r="AU3" s="5" t="inlineStr">
        <is>
          <t>с</t>
        </is>
      </c>
      <c r="AV3" s="5" t="n"/>
      <c r="AW3" s="5" t="n"/>
      <c r="AX3" s="5" t="n"/>
      <c r="AY3" s="5" t="n"/>
      <c r="AZ3" s="5" t="n"/>
      <c r="BA3" s="5" t="n"/>
      <c r="BB3" s="5" t="n"/>
      <c r="BC3" s="5" t="n"/>
    </row>
    <row r="4">
      <c r="A4" s="10" t="inlineStr">
        <is>
          <t>r</t>
        </is>
      </c>
      <c r="B4" s="11" t="n">
        <v>9</v>
      </c>
      <c r="C4" s="12" t="inlineStr">
        <is>
          <t>Ом</t>
        </is>
      </c>
      <c r="D4" s="5" t="n"/>
      <c r="E4" s="5" t="n"/>
      <c r="F4" s="13" t="inlineStr">
        <is>
          <t>Заряд — ключ на E через r.
Разряд — контур L и R.</t>
        </is>
      </c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10" t="inlineStr">
        <is>
          <t>r</t>
        </is>
      </c>
      <c r="U4" s="11" t="n">
        <v>9</v>
      </c>
      <c r="V4" s="12" t="inlineStr">
        <is>
          <t>Ом</t>
        </is>
      </c>
      <c r="W4" s="5" t="n"/>
      <c r="X4" s="5" t="n"/>
      <c r="Y4" s="13" t="inlineStr">
        <is>
          <t>меньше L — быстрее нарастает ток</t>
        </is>
      </c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10" t="inlineStr">
        <is>
          <t>r</t>
        </is>
      </c>
      <c r="AP4" s="11" t="n">
        <v>4.5</v>
      </c>
      <c r="AQ4" s="12" t="inlineStr">
        <is>
          <t>Ом</t>
        </is>
      </c>
      <c r="AR4" s="5" t="n"/>
      <c r="AS4" s="5" t="n"/>
      <c r="AT4" s="13" t="inlineStr">
        <is>
          <t>меньше r — больше E/r,
разряд через R=12 Ом</t>
        </is>
      </c>
      <c r="AU4" s="5" t="n"/>
      <c r="AV4" s="5" t="n"/>
      <c r="AW4" s="5" t="n"/>
      <c r="AX4" s="5" t="n"/>
      <c r="AY4" s="5" t="n"/>
      <c r="AZ4" s="5" t="n"/>
      <c r="BA4" s="5" t="n"/>
      <c r="BB4" s="5" t="n"/>
      <c r="BC4" s="5" t="n"/>
    </row>
    <row r="5">
      <c r="A5" s="10" t="inlineStr">
        <is>
          <t>R</t>
        </is>
      </c>
      <c r="B5" s="11" t="n">
        <v>120</v>
      </c>
      <c r="C5" s="12" t="inlineStr">
        <is>
          <t>Ом</t>
        </is>
      </c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10" t="inlineStr">
        <is>
          <t>R</t>
        </is>
      </c>
      <c r="U5" s="11" t="n">
        <v>120</v>
      </c>
      <c r="V5" s="12" t="inlineStr">
        <is>
          <t>Ом</t>
        </is>
      </c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10" t="inlineStr">
        <is>
          <t>R</t>
        </is>
      </c>
      <c r="AP5" s="11" t="n">
        <v>12</v>
      </c>
      <c r="AQ5" s="12" t="inlineStr">
        <is>
          <t>Ом</t>
        </is>
      </c>
      <c r="AR5" s="5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5" t="n"/>
    </row>
    <row r="6">
      <c r="A6" s="10" t="inlineStr">
        <is>
          <t>L</t>
        </is>
      </c>
      <c r="B6" s="14">
        <f>POWER(10,-4)*9</f>
        <v/>
      </c>
      <c r="C6" s="12" t="inlineStr">
        <is>
          <t>Гн</t>
        </is>
      </c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10" t="inlineStr">
        <is>
          <t>L</t>
        </is>
      </c>
      <c r="U6" s="14">
        <f>POWER(10,-4)*3</f>
        <v/>
      </c>
      <c r="V6" s="12" t="inlineStr">
        <is>
          <t>Гн</t>
        </is>
      </c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10" t="inlineStr">
        <is>
          <t>L</t>
        </is>
      </c>
      <c r="AP6" s="14">
        <f>POWER(10,-4)*9</f>
        <v/>
      </c>
      <c r="AQ6" s="12" t="inlineStr">
        <is>
          <t>Гн</t>
        </is>
      </c>
      <c r="AR6" s="5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5" t="n"/>
    </row>
    <row r="7">
      <c r="A7" s="15" t="inlineStr">
        <is>
          <t>Графики Excel — на первом листе «Графики» (не фото, ряды из ячеек).</t>
        </is>
      </c>
      <c r="B7" s="16" t="n"/>
      <c r="C7" s="16" t="n"/>
      <c r="D7" s="16" t="n"/>
      <c r="E7" s="17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18" t="inlineStr">
        <is>
          <t>τз = L/r</t>
        </is>
      </c>
      <c r="U7" s="19">
        <f>U6/U4</f>
        <v/>
      </c>
      <c r="V7" s="18" t="inlineStr">
        <is>
          <t>с</t>
        </is>
      </c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18" t="inlineStr">
        <is>
          <t>τз = L/r</t>
        </is>
      </c>
      <c r="AP7" s="19">
        <f>AP6/AP4</f>
        <v/>
      </c>
      <c r="AQ7" s="18" t="inlineStr">
        <is>
          <t>с</t>
        </is>
      </c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  <c r="BC7" s="5" t="n"/>
    </row>
    <row r="8">
      <c r="A8" s="18" t="inlineStr">
        <is>
          <t>τр = L/R</t>
        </is>
      </c>
      <c r="B8" s="19">
        <f>B6/B5</f>
        <v/>
      </c>
      <c r="C8" s="18" t="inlineStr">
        <is>
          <t>с</t>
        </is>
      </c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18" t="inlineStr">
        <is>
          <t>τр = L/R</t>
        </is>
      </c>
      <c r="U8" s="19">
        <f>U6/U5</f>
        <v/>
      </c>
      <c r="V8" s="18" t="inlineStr">
        <is>
          <t>с</t>
        </is>
      </c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18" t="inlineStr">
        <is>
          <t>τр = L/R</t>
        </is>
      </c>
      <c r="AP8" s="19">
        <f>AP6/AP5</f>
        <v/>
      </c>
      <c r="AQ8" s="18" t="inlineStr">
        <is>
          <t>с</t>
        </is>
      </c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5" t="n"/>
    </row>
    <row r="9" ht="20" customHeight="1">
      <c r="A9" s="3" t="inlineStr">
        <is>
          <t>t, c</t>
        </is>
      </c>
      <c r="B9" s="6" t="inlineStr">
        <is>
          <t>Iз, А</t>
        </is>
      </c>
      <c r="C9" s="20" t="inlineStr">
        <is>
          <t>Uз, В</t>
        </is>
      </c>
      <c r="D9" s="7" t="inlineStr">
        <is>
          <t>Iр, А</t>
        </is>
      </c>
      <c r="E9" s="20" t="inlineStr">
        <is>
          <t>Uр, В</t>
        </is>
      </c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3" t="inlineStr">
        <is>
          <t>t, c</t>
        </is>
      </c>
      <c r="U9" s="6" t="inlineStr">
        <is>
          <t>Iз, А</t>
        </is>
      </c>
      <c r="V9" s="20" t="inlineStr">
        <is>
          <t>Uз, В</t>
        </is>
      </c>
      <c r="W9" s="7" t="inlineStr">
        <is>
          <t>Iр, А</t>
        </is>
      </c>
      <c r="X9" s="20" t="inlineStr">
        <is>
          <t>Uр, В</t>
        </is>
      </c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3" t="inlineStr">
        <is>
          <t>t, c</t>
        </is>
      </c>
      <c r="AP9" s="6" t="inlineStr">
        <is>
          <t>Iз, А</t>
        </is>
      </c>
      <c r="AQ9" s="20" t="inlineStr">
        <is>
          <t>Uз, В</t>
        </is>
      </c>
      <c r="AR9" s="7" t="inlineStr">
        <is>
          <t>Iр, А</t>
        </is>
      </c>
      <c r="AS9" s="20" t="inlineStr">
        <is>
          <t>Uр, В</t>
        </is>
      </c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</row>
    <row r="10">
      <c r="A10" s="21" t="n">
        <v>0</v>
      </c>
      <c r="B10" s="22">
        <f>($B$3/$B$4)*(1-EXP(-A10*$B$4/$B$6))</f>
        <v/>
      </c>
      <c r="C10" s="22">
        <f>$B$3*EXP(-A10*$B$4/$B$6)</f>
        <v/>
      </c>
      <c r="D10" s="23">
        <f>($B$3/$B$5)*EXP(-A10*$B$5/$B$6)</f>
        <v/>
      </c>
      <c r="E10" s="23">
        <f>-$B$3*EXP(-A10*$B$5/$B$6)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21" t="n">
        <v>0</v>
      </c>
      <c r="U10" s="22">
        <f>($U$3/$U$4)*(1-EXP(-T10*$U$4/$U$6))</f>
        <v/>
      </c>
      <c r="V10" s="22">
        <f>$U$3*EXP(-T10*$U$4/$U$6)</f>
        <v/>
      </c>
      <c r="W10" s="23">
        <f>($U$3/$U$5)*EXP(-T10*$U$5/$U$6)</f>
        <v/>
      </c>
      <c r="X10" s="23">
        <f>-$U$3*EXP(-T10*$U$5/$U$6)</f>
        <v/>
      </c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21" t="n">
        <v>0</v>
      </c>
      <c r="AP10" s="22">
        <f>($AP$3/$AP$4)*(1-EXP(-AO10*$AP$4/$AP$6))</f>
        <v/>
      </c>
      <c r="AQ10" s="22">
        <f>$AP$3*EXP(-AO10*$AP$4/$AP$6)</f>
        <v/>
      </c>
      <c r="AR10" s="23">
        <f>($AP$3/$AP$5)*EXP(-AO10*$AP$5/$AP$6)</f>
        <v/>
      </c>
      <c r="AS10" s="23">
        <f>-$AP$3*EXP(-AO10*$AP$5/$AP$6)</f>
        <v/>
      </c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</row>
    <row r="11">
      <c r="A11" s="24">
        <f>A10+$G$2</f>
        <v/>
      </c>
      <c r="B11" s="25">
        <f>($B$3/$B$4)*(1-EXP(-A11*$B$4/$B$6))</f>
        <v/>
      </c>
      <c r="C11" s="25">
        <f>$B$3*EXP(-A11*$B$4/$B$6)</f>
        <v/>
      </c>
      <c r="D11" s="26">
        <f>($B$3/$B$5)*EXP(-A11*$B$5/$B$6)</f>
        <v/>
      </c>
      <c r="E11" s="26">
        <f>-$B$3*EXP(-A11*$B$5/$B$6)</f>
        <v/>
      </c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24">
        <f>T10+$Z$2</f>
        <v/>
      </c>
      <c r="U11" s="25">
        <f>($U$3/$U$4)*(1-EXP(-T11*$U$4/$U$6))</f>
        <v/>
      </c>
      <c r="V11" s="25">
        <f>$U$3*EXP(-T11*$U$4/$U$6)</f>
        <v/>
      </c>
      <c r="W11" s="26">
        <f>($U$3/$U$5)*EXP(-T11*$U$5/$U$6)</f>
        <v/>
      </c>
      <c r="X11" s="26">
        <f>-$U$3*EXP(-T11*$U$5/$U$6)</f>
        <v/>
      </c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24">
        <f>AO10+$AU$2</f>
        <v/>
      </c>
      <c r="AP11" s="25">
        <f>($AP$3/$AP$4)*(1-EXP(-AO11*$AP$4/$AP$6))</f>
        <v/>
      </c>
      <c r="AQ11" s="25">
        <f>$AP$3*EXP(-AO11*$AP$4/$AP$6)</f>
        <v/>
      </c>
      <c r="AR11" s="26">
        <f>($AP$3/$AP$5)*EXP(-AO11*$AP$5/$AP$6)</f>
        <v/>
      </c>
      <c r="AS11" s="26">
        <f>-$AP$3*EXP(-AO11*$AP$5/$AP$6)</f>
        <v/>
      </c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</row>
    <row r="12">
      <c r="A12" s="21">
        <f>A11+$G$2</f>
        <v/>
      </c>
      <c r="B12" s="22">
        <f>($B$3/$B$4)*(1-EXP(-A12*$B$4/$B$6))</f>
        <v/>
      </c>
      <c r="C12" s="22">
        <f>$B$3*EXP(-A12*$B$4/$B$6)</f>
        <v/>
      </c>
      <c r="D12" s="23">
        <f>($B$3/$B$5)*EXP(-A12*$B$5/$B$6)</f>
        <v/>
      </c>
      <c r="E12" s="23">
        <f>-$B$3*EXP(-A12*$B$5/$B$6)</f>
        <v/>
      </c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21">
        <f>T11+$Z$2</f>
        <v/>
      </c>
      <c r="U12" s="22">
        <f>($U$3/$U$4)*(1-EXP(-T12*$U$4/$U$6))</f>
        <v/>
      </c>
      <c r="V12" s="22">
        <f>$U$3*EXP(-T12*$U$4/$U$6)</f>
        <v/>
      </c>
      <c r="W12" s="23">
        <f>($U$3/$U$5)*EXP(-T12*$U$5/$U$6)</f>
        <v/>
      </c>
      <c r="X12" s="23">
        <f>-$U$3*EXP(-T12*$U$5/$U$6)</f>
        <v/>
      </c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21">
        <f>AO11+$AU$2</f>
        <v/>
      </c>
      <c r="AP12" s="22">
        <f>($AP$3/$AP$4)*(1-EXP(-AO12*$AP$4/$AP$6))</f>
        <v/>
      </c>
      <c r="AQ12" s="22">
        <f>$AP$3*EXP(-AO12*$AP$4/$AP$6)</f>
        <v/>
      </c>
      <c r="AR12" s="23">
        <f>($AP$3/$AP$5)*EXP(-AO12*$AP$5/$AP$6)</f>
        <v/>
      </c>
      <c r="AS12" s="23">
        <f>-$AP$3*EXP(-AO12*$AP$5/$AP$6)</f>
        <v/>
      </c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</row>
    <row r="13">
      <c r="A13" s="24">
        <f>A12+$G$2</f>
        <v/>
      </c>
      <c r="B13" s="25">
        <f>($B$3/$B$4)*(1-EXP(-A13*$B$4/$B$6))</f>
        <v/>
      </c>
      <c r="C13" s="25">
        <f>$B$3*EXP(-A13*$B$4/$B$6)</f>
        <v/>
      </c>
      <c r="D13" s="26">
        <f>($B$3/$B$5)*EXP(-A13*$B$5/$B$6)</f>
        <v/>
      </c>
      <c r="E13" s="26">
        <f>-$B$3*EXP(-A13*$B$5/$B$6)</f>
        <v/>
      </c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24">
        <f>T12+$Z$2</f>
        <v/>
      </c>
      <c r="U13" s="25">
        <f>($U$3/$U$4)*(1-EXP(-T13*$U$4/$U$6))</f>
        <v/>
      </c>
      <c r="V13" s="25">
        <f>$U$3*EXP(-T13*$U$4/$U$6)</f>
        <v/>
      </c>
      <c r="W13" s="26">
        <f>($U$3/$U$5)*EXP(-T13*$U$5/$U$6)</f>
        <v/>
      </c>
      <c r="X13" s="26">
        <f>-$U$3*EXP(-T13*$U$5/$U$6)</f>
        <v/>
      </c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24">
        <f>AO12+$AU$2</f>
        <v/>
      </c>
      <c r="AP13" s="25">
        <f>($AP$3/$AP$4)*(1-EXP(-AO13*$AP$4/$AP$6))</f>
        <v/>
      </c>
      <c r="AQ13" s="25">
        <f>$AP$3*EXP(-AO13*$AP$4/$AP$6)</f>
        <v/>
      </c>
      <c r="AR13" s="26">
        <f>($AP$3/$AP$5)*EXP(-AO13*$AP$5/$AP$6)</f>
        <v/>
      </c>
      <c r="AS13" s="26">
        <f>-$AP$3*EXP(-AO13*$AP$5/$AP$6)</f>
        <v/>
      </c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</row>
    <row r="14">
      <c r="A14" s="21">
        <f>A13+$G$2</f>
        <v/>
      </c>
      <c r="B14" s="22">
        <f>($B$3/$B$4)*(1-EXP(-A14*$B$4/$B$6))</f>
        <v/>
      </c>
      <c r="C14" s="22">
        <f>$B$3*EXP(-A14*$B$4/$B$6)</f>
        <v/>
      </c>
      <c r="D14" s="23">
        <f>($B$3/$B$5)*EXP(-A14*$B$5/$B$6)</f>
        <v/>
      </c>
      <c r="E14" s="23">
        <f>-$B$3*EXP(-A14*$B$5/$B$6)</f>
        <v/>
      </c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21">
        <f>T13+$Z$2</f>
        <v/>
      </c>
      <c r="U14" s="22">
        <f>($U$3/$U$4)*(1-EXP(-T14*$U$4/$U$6))</f>
        <v/>
      </c>
      <c r="V14" s="22">
        <f>$U$3*EXP(-T14*$U$4/$U$6)</f>
        <v/>
      </c>
      <c r="W14" s="23">
        <f>($U$3/$U$5)*EXP(-T14*$U$5/$U$6)</f>
        <v/>
      </c>
      <c r="X14" s="23">
        <f>-$U$3*EXP(-T14*$U$5/$U$6)</f>
        <v/>
      </c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21">
        <f>AO13+$AU$2</f>
        <v/>
      </c>
      <c r="AP14" s="22">
        <f>($AP$3/$AP$4)*(1-EXP(-AO14*$AP$4/$AP$6))</f>
        <v/>
      </c>
      <c r="AQ14" s="22">
        <f>$AP$3*EXP(-AO14*$AP$4/$AP$6)</f>
        <v/>
      </c>
      <c r="AR14" s="23">
        <f>($AP$3/$AP$5)*EXP(-AO14*$AP$5/$AP$6)</f>
        <v/>
      </c>
      <c r="AS14" s="23">
        <f>-$AP$3*EXP(-AO14*$AP$5/$AP$6)</f>
        <v/>
      </c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</row>
    <row r="15">
      <c r="A15" s="24">
        <f>A14+$G$2</f>
        <v/>
      </c>
      <c r="B15" s="25">
        <f>($B$3/$B$4)*(1-EXP(-A15*$B$4/$B$6))</f>
        <v/>
      </c>
      <c r="C15" s="25">
        <f>$B$3*EXP(-A15*$B$4/$B$6)</f>
        <v/>
      </c>
      <c r="D15" s="26">
        <f>($B$3/$B$5)*EXP(-A15*$B$5/$B$6)</f>
        <v/>
      </c>
      <c r="E15" s="26">
        <f>-$B$3*EXP(-A15*$B$5/$B$6)</f>
        <v/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24">
        <f>T14+$Z$2</f>
        <v/>
      </c>
      <c r="U15" s="25">
        <f>($U$3/$U$4)*(1-EXP(-T15*$U$4/$U$6))</f>
        <v/>
      </c>
      <c r="V15" s="25">
        <f>$U$3*EXP(-T15*$U$4/$U$6)</f>
        <v/>
      </c>
      <c r="W15" s="26">
        <f>($U$3/$U$5)*EXP(-T15*$U$5/$U$6)</f>
        <v/>
      </c>
      <c r="X15" s="26">
        <f>-$U$3*EXP(-T15*$U$5/$U$6)</f>
        <v/>
      </c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24">
        <f>AO14+$AU$2</f>
        <v/>
      </c>
      <c r="AP15" s="25">
        <f>($AP$3/$AP$4)*(1-EXP(-AO15*$AP$4/$AP$6))</f>
        <v/>
      </c>
      <c r="AQ15" s="25">
        <f>$AP$3*EXP(-AO15*$AP$4/$AP$6)</f>
        <v/>
      </c>
      <c r="AR15" s="26">
        <f>($AP$3/$AP$5)*EXP(-AO15*$AP$5/$AP$6)</f>
        <v/>
      </c>
      <c r="AS15" s="26">
        <f>-$AP$3*EXP(-AO15*$AP$5/$AP$6)</f>
        <v/>
      </c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</row>
    <row r="16">
      <c r="A16" s="21">
        <f>A15+$G$2</f>
        <v/>
      </c>
      <c r="B16" s="22">
        <f>($B$3/$B$4)*(1-EXP(-A16*$B$4/$B$6))</f>
        <v/>
      </c>
      <c r="C16" s="22">
        <f>$B$3*EXP(-A16*$B$4/$B$6)</f>
        <v/>
      </c>
      <c r="D16" s="23">
        <f>($B$3/$B$5)*EXP(-A16*$B$5/$B$6)</f>
        <v/>
      </c>
      <c r="E16" s="23">
        <f>-$B$3*EXP(-A16*$B$5/$B$6)</f>
        <v/>
      </c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21">
        <f>T15+$Z$2</f>
        <v/>
      </c>
      <c r="U16" s="22">
        <f>($U$3/$U$4)*(1-EXP(-T16*$U$4/$U$6))</f>
        <v/>
      </c>
      <c r="V16" s="22">
        <f>$U$3*EXP(-T16*$U$4/$U$6)</f>
        <v/>
      </c>
      <c r="W16" s="23">
        <f>($U$3/$U$5)*EXP(-T16*$U$5/$U$6)</f>
        <v/>
      </c>
      <c r="X16" s="23">
        <f>-$U$3*EXP(-T16*$U$5/$U$6)</f>
        <v/>
      </c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21">
        <f>AO15+$AU$2</f>
        <v/>
      </c>
      <c r="AP16" s="22">
        <f>($AP$3/$AP$4)*(1-EXP(-AO16*$AP$4/$AP$6))</f>
        <v/>
      </c>
      <c r="AQ16" s="22">
        <f>$AP$3*EXP(-AO16*$AP$4/$AP$6)</f>
        <v/>
      </c>
      <c r="AR16" s="23">
        <f>($AP$3/$AP$5)*EXP(-AO16*$AP$5/$AP$6)</f>
        <v/>
      </c>
      <c r="AS16" s="23">
        <f>-$AP$3*EXP(-AO16*$AP$5/$AP$6)</f>
        <v/>
      </c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</row>
    <row r="17">
      <c r="A17" s="24">
        <f>A16+$G$2</f>
        <v/>
      </c>
      <c r="B17" s="25">
        <f>($B$3/$B$4)*(1-EXP(-A17*$B$4/$B$6))</f>
        <v/>
      </c>
      <c r="C17" s="25">
        <f>$B$3*EXP(-A17*$B$4/$B$6)</f>
        <v/>
      </c>
      <c r="D17" s="26">
        <f>($B$3/$B$5)*EXP(-A17*$B$5/$B$6)</f>
        <v/>
      </c>
      <c r="E17" s="26">
        <f>-$B$3*EXP(-A17*$B$5/$B$6)</f>
        <v/>
      </c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24">
        <f>T16+$Z$2</f>
        <v/>
      </c>
      <c r="U17" s="25">
        <f>($U$3/$U$4)*(1-EXP(-T17*$U$4/$U$6))</f>
        <v/>
      </c>
      <c r="V17" s="25">
        <f>$U$3*EXP(-T17*$U$4/$U$6)</f>
        <v/>
      </c>
      <c r="W17" s="26">
        <f>($U$3/$U$5)*EXP(-T17*$U$5/$U$6)</f>
        <v/>
      </c>
      <c r="X17" s="26">
        <f>-$U$3*EXP(-T17*$U$5/$U$6)</f>
        <v/>
      </c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24">
        <f>AO16+$AU$2</f>
        <v/>
      </c>
      <c r="AP17" s="25">
        <f>($AP$3/$AP$4)*(1-EXP(-AO17*$AP$4/$AP$6))</f>
        <v/>
      </c>
      <c r="AQ17" s="25">
        <f>$AP$3*EXP(-AO17*$AP$4/$AP$6)</f>
        <v/>
      </c>
      <c r="AR17" s="26">
        <f>($AP$3/$AP$5)*EXP(-AO17*$AP$5/$AP$6)</f>
        <v/>
      </c>
      <c r="AS17" s="26">
        <f>-$AP$3*EXP(-AO17*$AP$5/$AP$6)</f>
        <v/>
      </c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</row>
    <row r="18">
      <c r="A18" s="21">
        <f>A17+$G$2</f>
        <v/>
      </c>
      <c r="B18" s="22">
        <f>($B$3/$B$4)*(1-EXP(-A18*$B$4/$B$6))</f>
        <v/>
      </c>
      <c r="C18" s="22">
        <f>$B$3*EXP(-A18*$B$4/$B$6)</f>
        <v/>
      </c>
      <c r="D18" s="23">
        <f>($B$3/$B$5)*EXP(-A18*$B$5/$B$6)</f>
        <v/>
      </c>
      <c r="E18" s="23">
        <f>-$B$3*EXP(-A18*$B$5/$B$6)</f>
        <v/>
      </c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21">
        <f>T17+$Z$2</f>
        <v/>
      </c>
      <c r="U18" s="22">
        <f>($U$3/$U$4)*(1-EXP(-T18*$U$4/$U$6))</f>
        <v/>
      </c>
      <c r="V18" s="22">
        <f>$U$3*EXP(-T18*$U$4/$U$6)</f>
        <v/>
      </c>
      <c r="W18" s="23">
        <f>($U$3/$U$5)*EXP(-T18*$U$5/$U$6)</f>
        <v/>
      </c>
      <c r="X18" s="23">
        <f>-$U$3*EXP(-T18*$U$5/$U$6)</f>
        <v/>
      </c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21">
        <f>AO17+$AU$2</f>
        <v/>
      </c>
      <c r="AP18" s="22">
        <f>($AP$3/$AP$4)*(1-EXP(-AO18*$AP$4/$AP$6))</f>
        <v/>
      </c>
      <c r="AQ18" s="22">
        <f>$AP$3*EXP(-AO18*$AP$4/$AP$6)</f>
        <v/>
      </c>
      <c r="AR18" s="23">
        <f>($AP$3/$AP$5)*EXP(-AO18*$AP$5/$AP$6)</f>
        <v/>
      </c>
      <c r="AS18" s="23">
        <f>-$AP$3*EXP(-AO18*$AP$5/$AP$6)</f>
        <v/>
      </c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</row>
    <row r="19">
      <c r="A19" s="24">
        <f>A18+$G$2</f>
        <v/>
      </c>
      <c r="B19" s="25">
        <f>($B$3/$B$4)*(1-EXP(-A19*$B$4/$B$6))</f>
        <v/>
      </c>
      <c r="C19" s="25">
        <f>$B$3*EXP(-A19*$B$4/$B$6)</f>
        <v/>
      </c>
      <c r="D19" s="26">
        <f>($B$3/$B$5)*EXP(-A19*$B$5/$B$6)</f>
        <v/>
      </c>
      <c r="E19" s="26">
        <f>-$B$3*EXP(-A19*$B$5/$B$6)</f>
        <v/>
      </c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24">
        <f>T18+$Z$2</f>
        <v/>
      </c>
      <c r="U19" s="25">
        <f>($U$3/$U$4)*(1-EXP(-T19*$U$4/$U$6))</f>
        <v/>
      </c>
      <c r="V19" s="25">
        <f>$U$3*EXP(-T19*$U$4/$U$6)</f>
        <v/>
      </c>
      <c r="W19" s="26">
        <f>($U$3/$U$5)*EXP(-T19*$U$5/$U$6)</f>
        <v/>
      </c>
      <c r="X19" s="26">
        <f>-$U$3*EXP(-T19*$U$5/$U$6)</f>
        <v/>
      </c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24">
        <f>AO18+$AU$2</f>
        <v/>
      </c>
      <c r="AP19" s="25">
        <f>($AP$3/$AP$4)*(1-EXP(-AO19*$AP$4/$AP$6))</f>
        <v/>
      </c>
      <c r="AQ19" s="25">
        <f>$AP$3*EXP(-AO19*$AP$4/$AP$6)</f>
        <v/>
      </c>
      <c r="AR19" s="26">
        <f>($AP$3/$AP$5)*EXP(-AO19*$AP$5/$AP$6)</f>
        <v/>
      </c>
      <c r="AS19" s="26">
        <f>-$AP$3*EXP(-AO19*$AP$5/$AP$6)</f>
        <v/>
      </c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</row>
    <row r="20">
      <c r="A20" s="21">
        <f>A19+$G$2</f>
        <v/>
      </c>
      <c r="B20" s="22">
        <f>($B$3/$B$4)*(1-EXP(-A20*$B$4/$B$6))</f>
        <v/>
      </c>
      <c r="C20" s="22">
        <f>$B$3*EXP(-A20*$B$4/$B$6)</f>
        <v/>
      </c>
      <c r="D20" s="23">
        <f>($B$3/$B$5)*EXP(-A20*$B$5/$B$6)</f>
        <v/>
      </c>
      <c r="E20" s="23">
        <f>-$B$3*EXP(-A20*$B$5/$B$6)</f>
        <v/>
      </c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21">
        <f>T19+$Z$2</f>
        <v/>
      </c>
      <c r="U20" s="22">
        <f>($U$3/$U$4)*(1-EXP(-T20*$U$4/$U$6))</f>
        <v/>
      </c>
      <c r="V20" s="22">
        <f>$U$3*EXP(-T20*$U$4/$U$6)</f>
        <v/>
      </c>
      <c r="W20" s="23">
        <f>($U$3/$U$5)*EXP(-T20*$U$5/$U$6)</f>
        <v/>
      </c>
      <c r="X20" s="23">
        <f>-$U$3*EXP(-T20*$U$5/$U$6)</f>
        <v/>
      </c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21">
        <f>AO19+$AU$2</f>
        <v/>
      </c>
      <c r="AP20" s="22">
        <f>($AP$3/$AP$4)*(1-EXP(-AO20*$AP$4/$AP$6))</f>
        <v/>
      </c>
      <c r="AQ20" s="22">
        <f>$AP$3*EXP(-AO20*$AP$4/$AP$6)</f>
        <v/>
      </c>
      <c r="AR20" s="23">
        <f>($AP$3/$AP$5)*EXP(-AO20*$AP$5/$AP$6)</f>
        <v/>
      </c>
      <c r="AS20" s="23">
        <f>-$AP$3*EXP(-AO20*$AP$5/$AP$6)</f>
        <v/>
      </c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</row>
    <row r="21">
      <c r="A21" s="24">
        <f>A20+$G$2</f>
        <v/>
      </c>
      <c r="B21" s="25">
        <f>($B$3/$B$4)*(1-EXP(-A21*$B$4/$B$6))</f>
        <v/>
      </c>
      <c r="C21" s="25">
        <f>$B$3*EXP(-A21*$B$4/$B$6)</f>
        <v/>
      </c>
      <c r="D21" s="26">
        <f>($B$3/$B$5)*EXP(-A21*$B$5/$B$6)</f>
        <v/>
      </c>
      <c r="E21" s="26">
        <f>-$B$3*EXP(-A21*$B$5/$B$6)</f>
        <v/>
      </c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24">
        <f>T20+$Z$2</f>
        <v/>
      </c>
      <c r="U21" s="25">
        <f>($U$3/$U$4)*(1-EXP(-T21*$U$4/$U$6))</f>
        <v/>
      </c>
      <c r="V21" s="25">
        <f>$U$3*EXP(-T21*$U$4/$U$6)</f>
        <v/>
      </c>
      <c r="W21" s="26">
        <f>($U$3/$U$5)*EXP(-T21*$U$5/$U$6)</f>
        <v/>
      </c>
      <c r="X21" s="26">
        <f>-$U$3*EXP(-T21*$U$5/$U$6)</f>
        <v/>
      </c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24">
        <f>AO20+$AU$2</f>
        <v/>
      </c>
      <c r="AP21" s="25">
        <f>($AP$3/$AP$4)*(1-EXP(-AO21*$AP$4/$AP$6))</f>
        <v/>
      </c>
      <c r="AQ21" s="25">
        <f>$AP$3*EXP(-AO21*$AP$4/$AP$6)</f>
        <v/>
      </c>
      <c r="AR21" s="26">
        <f>($AP$3/$AP$5)*EXP(-AO21*$AP$5/$AP$6)</f>
        <v/>
      </c>
      <c r="AS21" s="26">
        <f>-$AP$3*EXP(-AO21*$AP$5/$AP$6)</f>
        <v/>
      </c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</row>
    <row r="22">
      <c r="A22" s="21">
        <f>A21+$G$2</f>
        <v/>
      </c>
      <c r="B22" s="22">
        <f>($B$3/$B$4)*(1-EXP(-A22*$B$4/$B$6))</f>
        <v/>
      </c>
      <c r="C22" s="22">
        <f>$B$3*EXP(-A22*$B$4/$B$6)</f>
        <v/>
      </c>
      <c r="D22" s="23">
        <f>($B$3/$B$5)*EXP(-A22*$B$5/$B$6)</f>
        <v/>
      </c>
      <c r="E22" s="23">
        <f>-$B$3*EXP(-A22*$B$5/$B$6)</f>
        <v/>
      </c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21">
        <f>T21+$Z$2</f>
        <v/>
      </c>
      <c r="U22" s="22">
        <f>($U$3/$U$4)*(1-EXP(-T22*$U$4/$U$6))</f>
        <v/>
      </c>
      <c r="V22" s="22">
        <f>$U$3*EXP(-T22*$U$4/$U$6)</f>
        <v/>
      </c>
      <c r="W22" s="23">
        <f>($U$3/$U$5)*EXP(-T22*$U$5/$U$6)</f>
        <v/>
      </c>
      <c r="X22" s="23">
        <f>-$U$3*EXP(-T22*$U$5/$U$6)</f>
        <v/>
      </c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21">
        <f>AO21+$AU$2</f>
        <v/>
      </c>
      <c r="AP22" s="22">
        <f>($AP$3/$AP$4)*(1-EXP(-AO22*$AP$4/$AP$6))</f>
        <v/>
      </c>
      <c r="AQ22" s="22">
        <f>$AP$3*EXP(-AO22*$AP$4/$AP$6)</f>
        <v/>
      </c>
      <c r="AR22" s="23">
        <f>($AP$3/$AP$5)*EXP(-AO22*$AP$5/$AP$6)</f>
        <v/>
      </c>
      <c r="AS22" s="23">
        <f>-$AP$3*EXP(-AO22*$AP$5/$AP$6)</f>
        <v/>
      </c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</row>
    <row r="23">
      <c r="A23" s="24">
        <f>A22+$G$2</f>
        <v/>
      </c>
      <c r="B23" s="25">
        <f>($B$3/$B$4)*(1-EXP(-A23*$B$4/$B$6))</f>
        <v/>
      </c>
      <c r="C23" s="25">
        <f>$B$3*EXP(-A23*$B$4/$B$6)</f>
        <v/>
      </c>
      <c r="D23" s="26">
        <f>($B$3/$B$5)*EXP(-A23*$B$5/$B$6)</f>
        <v/>
      </c>
      <c r="E23" s="26">
        <f>-$B$3*EXP(-A23*$B$5/$B$6)</f>
        <v/>
      </c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24">
        <f>T22+$Z$2</f>
        <v/>
      </c>
      <c r="U23" s="25">
        <f>($U$3/$U$4)*(1-EXP(-T23*$U$4/$U$6))</f>
        <v/>
      </c>
      <c r="V23" s="25">
        <f>$U$3*EXP(-T23*$U$4/$U$6)</f>
        <v/>
      </c>
      <c r="W23" s="26">
        <f>($U$3/$U$5)*EXP(-T23*$U$5/$U$6)</f>
        <v/>
      </c>
      <c r="X23" s="26">
        <f>-$U$3*EXP(-T23*$U$5/$U$6)</f>
        <v/>
      </c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24">
        <f>AO22+$AU$2</f>
        <v/>
      </c>
      <c r="AP23" s="25">
        <f>($AP$3/$AP$4)*(1-EXP(-AO23*$AP$4/$AP$6))</f>
        <v/>
      </c>
      <c r="AQ23" s="25">
        <f>$AP$3*EXP(-AO23*$AP$4/$AP$6)</f>
        <v/>
      </c>
      <c r="AR23" s="26">
        <f>($AP$3/$AP$5)*EXP(-AO23*$AP$5/$AP$6)</f>
        <v/>
      </c>
      <c r="AS23" s="26">
        <f>-$AP$3*EXP(-AO23*$AP$5/$AP$6)</f>
        <v/>
      </c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</row>
    <row r="24">
      <c r="A24" s="21">
        <f>A23+$G$2</f>
        <v/>
      </c>
      <c r="B24" s="22">
        <f>($B$3/$B$4)*(1-EXP(-A24*$B$4/$B$6))</f>
        <v/>
      </c>
      <c r="C24" s="22">
        <f>$B$3*EXP(-A24*$B$4/$B$6)</f>
        <v/>
      </c>
      <c r="D24" s="23">
        <f>($B$3/$B$5)*EXP(-A24*$B$5/$B$6)</f>
        <v/>
      </c>
      <c r="E24" s="23">
        <f>-$B$3*EXP(-A24*$B$5/$B$6)</f>
        <v/>
      </c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21">
        <f>T23+$Z$2</f>
        <v/>
      </c>
      <c r="U24" s="22">
        <f>($U$3/$U$4)*(1-EXP(-T24*$U$4/$U$6))</f>
        <v/>
      </c>
      <c r="V24" s="22">
        <f>$U$3*EXP(-T24*$U$4/$U$6)</f>
        <v/>
      </c>
      <c r="W24" s="23">
        <f>($U$3/$U$5)*EXP(-T24*$U$5/$U$6)</f>
        <v/>
      </c>
      <c r="X24" s="23">
        <f>-$U$3*EXP(-T24*$U$5/$U$6)</f>
        <v/>
      </c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21">
        <f>AO23+$AU$2</f>
        <v/>
      </c>
      <c r="AP24" s="22">
        <f>($AP$3/$AP$4)*(1-EXP(-AO24*$AP$4/$AP$6))</f>
        <v/>
      </c>
      <c r="AQ24" s="22">
        <f>$AP$3*EXP(-AO24*$AP$4/$AP$6)</f>
        <v/>
      </c>
      <c r="AR24" s="23">
        <f>($AP$3/$AP$5)*EXP(-AO24*$AP$5/$AP$6)</f>
        <v/>
      </c>
      <c r="AS24" s="23">
        <f>-$AP$3*EXP(-AO24*$AP$5/$AP$6)</f>
        <v/>
      </c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</row>
    <row r="25">
      <c r="A25" s="24">
        <f>A24+$G$2</f>
        <v/>
      </c>
      <c r="B25" s="25">
        <f>($B$3/$B$4)*(1-EXP(-A25*$B$4/$B$6))</f>
        <v/>
      </c>
      <c r="C25" s="25">
        <f>$B$3*EXP(-A25*$B$4/$B$6)</f>
        <v/>
      </c>
      <c r="D25" s="26">
        <f>($B$3/$B$5)*EXP(-A25*$B$5/$B$6)</f>
        <v/>
      </c>
      <c r="E25" s="26">
        <f>-$B$3*EXP(-A25*$B$5/$B$6)</f>
        <v/>
      </c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24">
        <f>T24+$Z$2</f>
        <v/>
      </c>
      <c r="U25" s="25">
        <f>($U$3/$U$4)*(1-EXP(-T25*$U$4/$U$6))</f>
        <v/>
      </c>
      <c r="V25" s="25">
        <f>$U$3*EXP(-T25*$U$4/$U$6)</f>
        <v/>
      </c>
      <c r="W25" s="26">
        <f>($U$3/$U$5)*EXP(-T25*$U$5/$U$6)</f>
        <v/>
      </c>
      <c r="X25" s="26">
        <f>-$U$3*EXP(-T25*$U$5/$U$6)</f>
        <v/>
      </c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24">
        <f>AO24+$AU$2</f>
        <v/>
      </c>
      <c r="AP25" s="25">
        <f>($AP$3/$AP$4)*(1-EXP(-AO25*$AP$4/$AP$6))</f>
        <v/>
      </c>
      <c r="AQ25" s="25">
        <f>$AP$3*EXP(-AO25*$AP$4/$AP$6)</f>
        <v/>
      </c>
      <c r="AR25" s="26">
        <f>($AP$3/$AP$5)*EXP(-AO25*$AP$5/$AP$6)</f>
        <v/>
      </c>
      <c r="AS25" s="26">
        <f>-$AP$3*EXP(-AO25*$AP$5/$AP$6)</f>
        <v/>
      </c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</row>
    <row r="26">
      <c r="A26" s="21">
        <f>A25+$G$2</f>
        <v/>
      </c>
      <c r="B26" s="22">
        <f>($B$3/$B$4)*(1-EXP(-A26*$B$4/$B$6))</f>
        <v/>
      </c>
      <c r="C26" s="22">
        <f>$B$3*EXP(-A26*$B$4/$B$6)</f>
        <v/>
      </c>
      <c r="D26" s="23">
        <f>($B$3/$B$5)*EXP(-A26*$B$5/$B$6)</f>
        <v/>
      </c>
      <c r="E26" s="23">
        <f>-$B$3*EXP(-A26*$B$5/$B$6)</f>
        <v/>
      </c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21">
        <f>T25+$Z$2</f>
        <v/>
      </c>
      <c r="U26" s="22">
        <f>($U$3/$U$4)*(1-EXP(-T26*$U$4/$U$6))</f>
        <v/>
      </c>
      <c r="V26" s="22">
        <f>$U$3*EXP(-T26*$U$4/$U$6)</f>
        <v/>
      </c>
      <c r="W26" s="23">
        <f>($U$3/$U$5)*EXP(-T26*$U$5/$U$6)</f>
        <v/>
      </c>
      <c r="X26" s="23">
        <f>-$U$3*EXP(-T26*$U$5/$U$6)</f>
        <v/>
      </c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21">
        <f>AO25+$AU$2</f>
        <v/>
      </c>
      <c r="AP26" s="22">
        <f>($AP$3/$AP$4)*(1-EXP(-AO26*$AP$4/$AP$6))</f>
        <v/>
      </c>
      <c r="AQ26" s="22">
        <f>$AP$3*EXP(-AO26*$AP$4/$AP$6)</f>
        <v/>
      </c>
      <c r="AR26" s="23">
        <f>($AP$3/$AP$5)*EXP(-AO26*$AP$5/$AP$6)</f>
        <v/>
      </c>
      <c r="AS26" s="23">
        <f>-$AP$3*EXP(-AO26*$AP$5/$AP$6)</f>
        <v/>
      </c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</row>
    <row r="27">
      <c r="A27" s="24">
        <f>A26+$G$2</f>
        <v/>
      </c>
      <c r="B27" s="25">
        <f>($B$3/$B$4)*(1-EXP(-A27*$B$4/$B$6))</f>
        <v/>
      </c>
      <c r="C27" s="25">
        <f>$B$3*EXP(-A27*$B$4/$B$6)</f>
        <v/>
      </c>
      <c r="D27" s="26">
        <f>($B$3/$B$5)*EXP(-A27*$B$5/$B$6)</f>
        <v/>
      </c>
      <c r="E27" s="26">
        <f>-$B$3*EXP(-A27*$B$5/$B$6)</f>
        <v/>
      </c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24">
        <f>T26+$Z$2</f>
        <v/>
      </c>
      <c r="U27" s="25">
        <f>($U$3/$U$4)*(1-EXP(-T27*$U$4/$U$6))</f>
        <v/>
      </c>
      <c r="V27" s="25">
        <f>$U$3*EXP(-T27*$U$4/$U$6)</f>
        <v/>
      </c>
      <c r="W27" s="26">
        <f>($U$3/$U$5)*EXP(-T27*$U$5/$U$6)</f>
        <v/>
      </c>
      <c r="X27" s="26">
        <f>-$U$3*EXP(-T27*$U$5/$U$6)</f>
        <v/>
      </c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24">
        <f>AO26+$AU$2</f>
        <v/>
      </c>
      <c r="AP27" s="25">
        <f>($AP$3/$AP$4)*(1-EXP(-AO27*$AP$4/$AP$6))</f>
        <v/>
      </c>
      <c r="AQ27" s="25">
        <f>$AP$3*EXP(-AO27*$AP$4/$AP$6)</f>
        <v/>
      </c>
      <c r="AR27" s="26">
        <f>($AP$3/$AP$5)*EXP(-AO27*$AP$5/$AP$6)</f>
        <v/>
      </c>
      <c r="AS27" s="26">
        <f>-$AP$3*EXP(-AO27*$AP$5/$AP$6)</f>
        <v/>
      </c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</row>
    <row r="28">
      <c r="A28" s="21">
        <f>A27+$G$2</f>
        <v/>
      </c>
      <c r="B28" s="22">
        <f>($B$3/$B$4)*(1-EXP(-A28*$B$4/$B$6))</f>
        <v/>
      </c>
      <c r="C28" s="22">
        <f>$B$3*EXP(-A28*$B$4/$B$6)</f>
        <v/>
      </c>
      <c r="D28" s="23">
        <f>($B$3/$B$5)*EXP(-A28*$B$5/$B$6)</f>
        <v/>
      </c>
      <c r="E28" s="23">
        <f>-$B$3*EXP(-A28*$B$5/$B$6)</f>
        <v/>
      </c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21">
        <f>T27+$Z$2</f>
        <v/>
      </c>
      <c r="U28" s="22">
        <f>($U$3/$U$4)*(1-EXP(-T28*$U$4/$U$6))</f>
        <v/>
      </c>
      <c r="V28" s="22">
        <f>$U$3*EXP(-T28*$U$4/$U$6)</f>
        <v/>
      </c>
      <c r="W28" s="23">
        <f>($U$3/$U$5)*EXP(-T28*$U$5/$U$6)</f>
        <v/>
      </c>
      <c r="X28" s="23">
        <f>-$U$3*EXP(-T28*$U$5/$U$6)</f>
        <v/>
      </c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21">
        <f>AO27+$AU$2</f>
        <v/>
      </c>
      <c r="AP28" s="22">
        <f>($AP$3/$AP$4)*(1-EXP(-AO28*$AP$4/$AP$6))</f>
        <v/>
      </c>
      <c r="AQ28" s="22">
        <f>$AP$3*EXP(-AO28*$AP$4/$AP$6)</f>
        <v/>
      </c>
      <c r="AR28" s="23">
        <f>($AP$3/$AP$5)*EXP(-AO28*$AP$5/$AP$6)</f>
        <v/>
      </c>
      <c r="AS28" s="23">
        <f>-$AP$3*EXP(-AO28*$AP$5/$AP$6)</f>
        <v/>
      </c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</row>
    <row r="29">
      <c r="A29" s="24">
        <f>A28+$G$2</f>
        <v/>
      </c>
      <c r="B29" s="25">
        <f>($B$3/$B$4)*(1-EXP(-A29*$B$4/$B$6))</f>
        <v/>
      </c>
      <c r="C29" s="25">
        <f>$B$3*EXP(-A29*$B$4/$B$6)</f>
        <v/>
      </c>
      <c r="D29" s="26">
        <f>($B$3/$B$5)*EXP(-A29*$B$5/$B$6)</f>
        <v/>
      </c>
      <c r="E29" s="26">
        <f>-$B$3*EXP(-A29*$B$5/$B$6)</f>
        <v/>
      </c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24">
        <f>T28+$Z$2</f>
        <v/>
      </c>
      <c r="U29" s="25">
        <f>($U$3/$U$4)*(1-EXP(-T29*$U$4/$U$6))</f>
        <v/>
      </c>
      <c r="V29" s="25">
        <f>$U$3*EXP(-T29*$U$4/$U$6)</f>
        <v/>
      </c>
      <c r="W29" s="26">
        <f>($U$3/$U$5)*EXP(-T29*$U$5/$U$6)</f>
        <v/>
      </c>
      <c r="X29" s="26">
        <f>-$U$3*EXP(-T29*$U$5/$U$6)</f>
        <v/>
      </c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24">
        <f>AO28+$AU$2</f>
        <v/>
      </c>
      <c r="AP29" s="25">
        <f>($AP$3/$AP$4)*(1-EXP(-AO29*$AP$4/$AP$6))</f>
        <v/>
      </c>
      <c r="AQ29" s="25">
        <f>$AP$3*EXP(-AO29*$AP$4/$AP$6)</f>
        <v/>
      </c>
      <c r="AR29" s="26">
        <f>($AP$3/$AP$5)*EXP(-AO29*$AP$5/$AP$6)</f>
        <v/>
      </c>
      <c r="AS29" s="26">
        <f>-$AP$3*EXP(-AO29*$AP$5/$AP$6)</f>
        <v/>
      </c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</row>
    <row r="30">
      <c r="A30" s="21">
        <f>A29+$G$2</f>
        <v/>
      </c>
      <c r="B30" s="22">
        <f>($B$3/$B$4)*(1-EXP(-A30*$B$4/$B$6))</f>
        <v/>
      </c>
      <c r="C30" s="22">
        <f>$B$3*EXP(-A30*$B$4/$B$6)</f>
        <v/>
      </c>
      <c r="D30" s="23">
        <f>($B$3/$B$5)*EXP(-A30*$B$5/$B$6)</f>
        <v/>
      </c>
      <c r="E30" s="23">
        <f>-$B$3*EXP(-A30*$B$5/$B$6)</f>
        <v/>
      </c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21">
        <f>T29+$Z$2</f>
        <v/>
      </c>
      <c r="U30" s="22">
        <f>($U$3/$U$4)*(1-EXP(-T30*$U$4/$U$6))</f>
        <v/>
      </c>
      <c r="V30" s="22">
        <f>$U$3*EXP(-T30*$U$4/$U$6)</f>
        <v/>
      </c>
      <c r="W30" s="23">
        <f>($U$3/$U$5)*EXP(-T30*$U$5/$U$6)</f>
        <v/>
      </c>
      <c r="X30" s="23">
        <f>-$U$3*EXP(-T30*$U$5/$U$6)</f>
        <v/>
      </c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21">
        <f>AO29+$AU$2</f>
        <v/>
      </c>
      <c r="AP30" s="22">
        <f>($AP$3/$AP$4)*(1-EXP(-AO30*$AP$4/$AP$6))</f>
        <v/>
      </c>
      <c r="AQ30" s="22">
        <f>$AP$3*EXP(-AO30*$AP$4/$AP$6)</f>
        <v/>
      </c>
      <c r="AR30" s="23">
        <f>($AP$3/$AP$5)*EXP(-AO30*$AP$5/$AP$6)</f>
        <v/>
      </c>
      <c r="AS30" s="23">
        <f>-$AP$3*EXP(-AO30*$AP$5/$AP$6)</f>
        <v/>
      </c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</row>
    <row r="31">
      <c r="A31" s="24">
        <f>A30+$G$2</f>
        <v/>
      </c>
      <c r="B31" s="25">
        <f>($B$3/$B$4)*(1-EXP(-A31*$B$4/$B$6))</f>
        <v/>
      </c>
      <c r="C31" s="25">
        <f>$B$3*EXP(-A31*$B$4/$B$6)</f>
        <v/>
      </c>
      <c r="D31" s="26">
        <f>($B$3/$B$5)*EXP(-A31*$B$5/$B$6)</f>
        <v/>
      </c>
      <c r="E31" s="26">
        <f>-$B$3*EXP(-A31*$B$5/$B$6)</f>
        <v/>
      </c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24">
        <f>T30+$Z$2</f>
        <v/>
      </c>
      <c r="U31" s="25">
        <f>($U$3/$U$4)*(1-EXP(-T31*$U$4/$U$6))</f>
        <v/>
      </c>
      <c r="V31" s="25">
        <f>$U$3*EXP(-T31*$U$4/$U$6)</f>
        <v/>
      </c>
      <c r="W31" s="26">
        <f>($U$3/$U$5)*EXP(-T31*$U$5/$U$6)</f>
        <v/>
      </c>
      <c r="X31" s="26">
        <f>-$U$3*EXP(-T31*$U$5/$U$6)</f>
        <v/>
      </c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24">
        <f>AO30+$AU$2</f>
        <v/>
      </c>
      <c r="AP31" s="25">
        <f>($AP$3/$AP$4)*(1-EXP(-AO31*$AP$4/$AP$6))</f>
        <v/>
      </c>
      <c r="AQ31" s="25">
        <f>$AP$3*EXP(-AO31*$AP$4/$AP$6)</f>
        <v/>
      </c>
      <c r="AR31" s="26">
        <f>($AP$3/$AP$5)*EXP(-AO31*$AP$5/$AP$6)</f>
        <v/>
      </c>
      <c r="AS31" s="26">
        <f>-$AP$3*EXP(-AO31*$AP$5/$AP$6)</f>
        <v/>
      </c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</row>
    <row r="32">
      <c r="A32" s="21">
        <f>A31+$G$2</f>
        <v/>
      </c>
      <c r="B32" s="22">
        <f>($B$3/$B$4)*(1-EXP(-A32*$B$4/$B$6))</f>
        <v/>
      </c>
      <c r="C32" s="22">
        <f>$B$3*EXP(-A32*$B$4/$B$6)</f>
        <v/>
      </c>
      <c r="D32" s="23">
        <f>($B$3/$B$5)*EXP(-A32*$B$5/$B$6)</f>
        <v/>
      </c>
      <c r="E32" s="23">
        <f>-$B$3*EXP(-A32*$B$5/$B$6)</f>
        <v/>
      </c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21">
        <f>T31+$Z$2</f>
        <v/>
      </c>
      <c r="U32" s="22">
        <f>($U$3/$U$4)*(1-EXP(-T32*$U$4/$U$6))</f>
        <v/>
      </c>
      <c r="V32" s="22">
        <f>$U$3*EXP(-T32*$U$4/$U$6)</f>
        <v/>
      </c>
      <c r="W32" s="23">
        <f>($U$3/$U$5)*EXP(-T32*$U$5/$U$6)</f>
        <v/>
      </c>
      <c r="X32" s="23">
        <f>-$U$3*EXP(-T32*$U$5/$U$6)</f>
        <v/>
      </c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21">
        <f>AO31+$AU$2</f>
        <v/>
      </c>
      <c r="AP32" s="22">
        <f>($AP$3/$AP$4)*(1-EXP(-AO32*$AP$4/$AP$6))</f>
        <v/>
      </c>
      <c r="AQ32" s="22">
        <f>$AP$3*EXP(-AO32*$AP$4/$AP$6)</f>
        <v/>
      </c>
      <c r="AR32" s="23">
        <f>($AP$3/$AP$5)*EXP(-AO32*$AP$5/$AP$6)</f>
        <v/>
      </c>
      <c r="AS32" s="23">
        <f>-$AP$3*EXP(-AO32*$AP$5/$AP$6)</f>
        <v/>
      </c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</row>
    <row r="33">
      <c r="A33" s="24">
        <f>A32+$G$2</f>
        <v/>
      </c>
      <c r="B33" s="25">
        <f>($B$3/$B$4)*(1-EXP(-A33*$B$4/$B$6))</f>
        <v/>
      </c>
      <c r="C33" s="25">
        <f>$B$3*EXP(-A33*$B$4/$B$6)</f>
        <v/>
      </c>
      <c r="D33" s="26">
        <f>($B$3/$B$5)*EXP(-A33*$B$5/$B$6)</f>
        <v/>
      </c>
      <c r="E33" s="26">
        <f>-$B$3*EXP(-A33*$B$5/$B$6)</f>
        <v/>
      </c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24">
        <f>T32+$Z$2</f>
        <v/>
      </c>
      <c r="U33" s="25">
        <f>($U$3/$U$4)*(1-EXP(-T33*$U$4/$U$6))</f>
        <v/>
      </c>
      <c r="V33" s="25">
        <f>$U$3*EXP(-T33*$U$4/$U$6)</f>
        <v/>
      </c>
      <c r="W33" s="26">
        <f>($U$3/$U$5)*EXP(-T33*$U$5/$U$6)</f>
        <v/>
      </c>
      <c r="X33" s="26">
        <f>-$U$3*EXP(-T33*$U$5/$U$6)</f>
        <v/>
      </c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24">
        <f>AO32+$AU$2</f>
        <v/>
      </c>
      <c r="AP33" s="25">
        <f>($AP$3/$AP$4)*(1-EXP(-AO33*$AP$4/$AP$6))</f>
        <v/>
      </c>
      <c r="AQ33" s="25">
        <f>$AP$3*EXP(-AO33*$AP$4/$AP$6)</f>
        <v/>
      </c>
      <c r="AR33" s="26">
        <f>($AP$3/$AP$5)*EXP(-AO33*$AP$5/$AP$6)</f>
        <v/>
      </c>
      <c r="AS33" s="26">
        <f>-$AP$3*EXP(-AO33*$AP$5/$AP$6)</f>
        <v/>
      </c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</row>
    <row r="34">
      <c r="A34" s="21">
        <f>A33+$G$2</f>
        <v/>
      </c>
      <c r="B34" s="22">
        <f>($B$3/$B$4)*(1-EXP(-A34*$B$4/$B$6))</f>
        <v/>
      </c>
      <c r="C34" s="22">
        <f>$B$3*EXP(-A34*$B$4/$B$6)</f>
        <v/>
      </c>
      <c r="D34" s="23">
        <f>($B$3/$B$5)*EXP(-A34*$B$5/$B$6)</f>
        <v/>
      </c>
      <c r="E34" s="23">
        <f>-$B$3*EXP(-A34*$B$5/$B$6)</f>
        <v/>
      </c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21">
        <f>T33+$Z$2</f>
        <v/>
      </c>
      <c r="U34" s="22">
        <f>($U$3/$U$4)*(1-EXP(-T34*$U$4/$U$6))</f>
        <v/>
      </c>
      <c r="V34" s="22">
        <f>$U$3*EXP(-T34*$U$4/$U$6)</f>
        <v/>
      </c>
      <c r="W34" s="23">
        <f>($U$3/$U$5)*EXP(-T34*$U$5/$U$6)</f>
        <v/>
      </c>
      <c r="X34" s="23">
        <f>-$U$3*EXP(-T34*$U$5/$U$6)</f>
        <v/>
      </c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21">
        <f>AO33+$AU$2</f>
        <v/>
      </c>
      <c r="AP34" s="22">
        <f>($AP$3/$AP$4)*(1-EXP(-AO34*$AP$4/$AP$6))</f>
        <v/>
      </c>
      <c r="AQ34" s="22">
        <f>$AP$3*EXP(-AO34*$AP$4/$AP$6)</f>
        <v/>
      </c>
      <c r="AR34" s="23">
        <f>($AP$3/$AP$5)*EXP(-AO34*$AP$5/$AP$6)</f>
        <v/>
      </c>
      <c r="AS34" s="23">
        <f>-$AP$3*EXP(-AO34*$AP$5/$AP$6)</f>
        <v/>
      </c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</row>
    <row r="35">
      <c r="A35" s="24">
        <f>A34+$G$2</f>
        <v/>
      </c>
      <c r="B35" s="25">
        <f>($B$3/$B$4)*(1-EXP(-A35*$B$4/$B$6))</f>
        <v/>
      </c>
      <c r="C35" s="25">
        <f>$B$3*EXP(-A35*$B$4/$B$6)</f>
        <v/>
      </c>
      <c r="D35" s="26">
        <f>($B$3/$B$5)*EXP(-A35*$B$5/$B$6)</f>
        <v/>
      </c>
      <c r="E35" s="26">
        <f>-$B$3*EXP(-A35*$B$5/$B$6)</f>
        <v/>
      </c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24">
        <f>T34+$Z$2</f>
        <v/>
      </c>
      <c r="U35" s="25">
        <f>($U$3/$U$4)*(1-EXP(-T35*$U$4/$U$6))</f>
        <v/>
      </c>
      <c r="V35" s="25">
        <f>$U$3*EXP(-T35*$U$4/$U$6)</f>
        <v/>
      </c>
      <c r="W35" s="26">
        <f>($U$3/$U$5)*EXP(-T35*$U$5/$U$6)</f>
        <v/>
      </c>
      <c r="X35" s="26">
        <f>-$U$3*EXP(-T35*$U$5/$U$6)</f>
        <v/>
      </c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24">
        <f>AO34+$AU$2</f>
        <v/>
      </c>
      <c r="AP35" s="25">
        <f>($AP$3/$AP$4)*(1-EXP(-AO35*$AP$4/$AP$6))</f>
        <v/>
      </c>
      <c r="AQ35" s="25">
        <f>$AP$3*EXP(-AO35*$AP$4/$AP$6)</f>
        <v/>
      </c>
      <c r="AR35" s="26">
        <f>($AP$3/$AP$5)*EXP(-AO35*$AP$5/$AP$6)</f>
        <v/>
      </c>
      <c r="AS35" s="26">
        <f>-$AP$3*EXP(-AO35*$AP$5/$AP$6)</f>
        <v/>
      </c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</row>
    <row r="36">
      <c r="A36" s="21">
        <f>A35+$G$2</f>
        <v/>
      </c>
      <c r="B36" s="22">
        <f>($B$3/$B$4)*(1-EXP(-A36*$B$4/$B$6))</f>
        <v/>
      </c>
      <c r="C36" s="22">
        <f>$B$3*EXP(-A36*$B$4/$B$6)</f>
        <v/>
      </c>
      <c r="D36" s="23">
        <f>($B$3/$B$5)*EXP(-A36*$B$5/$B$6)</f>
        <v/>
      </c>
      <c r="E36" s="23">
        <f>-$B$3*EXP(-A36*$B$5/$B$6)</f>
        <v/>
      </c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21">
        <f>T35+$Z$2</f>
        <v/>
      </c>
      <c r="U36" s="22">
        <f>($U$3/$U$4)*(1-EXP(-T36*$U$4/$U$6))</f>
        <v/>
      </c>
      <c r="V36" s="22">
        <f>$U$3*EXP(-T36*$U$4/$U$6)</f>
        <v/>
      </c>
      <c r="W36" s="23">
        <f>($U$3/$U$5)*EXP(-T36*$U$5/$U$6)</f>
        <v/>
      </c>
      <c r="X36" s="23">
        <f>-$U$3*EXP(-T36*$U$5/$U$6)</f>
        <v/>
      </c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21">
        <f>AO35+$AU$2</f>
        <v/>
      </c>
      <c r="AP36" s="22">
        <f>($AP$3/$AP$4)*(1-EXP(-AO36*$AP$4/$AP$6))</f>
        <v/>
      </c>
      <c r="AQ36" s="22">
        <f>$AP$3*EXP(-AO36*$AP$4/$AP$6)</f>
        <v/>
      </c>
      <c r="AR36" s="23">
        <f>($AP$3/$AP$5)*EXP(-AO36*$AP$5/$AP$6)</f>
        <v/>
      </c>
      <c r="AS36" s="23">
        <f>-$AP$3*EXP(-AO36*$AP$5/$AP$6)</f>
        <v/>
      </c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</row>
    <row r="37">
      <c r="A37" s="24">
        <f>A36+$G$2</f>
        <v/>
      </c>
      <c r="B37" s="25">
        <f>($B$3/$B$4)*(1-EXP(-A37*$B$4/$B$6))</f>
        <v/>
      </c>
      <c r="C37" s="25">
        <f>$B$3*EXP(-A37*$B$4/$B$6)</f>
        <v/>
      </c>
      <c r="D37" s="26">
        <f>($B$3/$B$5)*EXP(-A37*$B$5/$B$6)</f>
        <v/>
      </c>
      <c r="E37" s="26">
        <f>-$B$3*EXP(-A37*$B$5/$B$6)</f>
        <v/>
      </c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24">
        <f>T36+$Z$2</f>
        <v/>
      </c>
      <c r="U37" s="25">
        <f>($U$3/$U$4)*(1-EXP(-T37*$U$4/$U$6))</f>
        <v/>
      </c>
      <c r="V37" s="25">
        <f>$U$3*EXP(-T37*$U$4/$U$6)</f>
        <v/>
      </c>
      <c r="W37" s="26">
        <f>($U$3/$U$5)*EXP(-T37*$U$5/$U$6)</f>
        <v/>
      </c>
      <c r="X37" s="26">
        <f>-$U$3*EXP(-T37*$U$5/$U$6)</f>
        <v/>
      </c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24">
        <f>AO36+$AU$2</f>
        <v/>
      </c>
      <c r="AP37" s="25">
        <f>($AP$3/$AP$4)*(1-EXP(-AO37*$AP$4/$AP$6))</f>
        <v/>
      </c>
      <c r="AQ37" s="25">
        <f>$AP$3*EXP(-AO37*$AP$4/$AP$6)</f>
        <v/>
      </c>
      <c r="AR37" s="26">
        <f>($AP$3/$AP$5)*EXP(-AO37*$AP$5/$AP$6)</f>
        <v/>
      </c>
      <c r="AS37" s="26">
        <f>-$AP$3*EXP(-AO37*$AP$5/$AP$6)</f>
        <v/>
      </c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</row>
    <row r="38">
      <c r="A38" s="21">
        <f>A37+$G$2</f>
        <v/>
      </c>
      <c r="B38" s="22">
        <f>($B$3/$B$4)*(1-EXP(-A38*$B$4/$B$6))</f>
        <v/>
      </c>
      <c r="C38" s="22">
        <f>$B$3*EXP(-A38*$B$4/$B$6)</f>
        <v/>
      </c>
      <c r="D38" s="23">
        <f>($B$3/$B$5)*EXP(-A38*$B$5/$B$6)</f>
        <v/>
      </c>
      <c r="E38" s="23">
        <f>-$B$3*EXP(-A38*$B$5/$B$6)</f>
        <v/>
      </c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21">
        <f>T37+$Z$2</f>
        <v/>
      </c>
      <c r="U38" s="22">
        <f>($U$3/$U$4)*(1-EXP(-T38*$U$4/$U$6))</f>
        <v/>
      </c>
      <c r="V38" s="22">
        <f>$U$3*EXP(-T38*$U$4/$U$6)</f>
        <v/>
      </c>
      <c r="W38" s="23">
        <f>($U$3/$U$5)*EXP(-T38*$U$5/$U$6)</f>
        <v/>
      </c>
      <c r="X38" s="23">
        <f>-$U$3*EXP(-T38*$U$5/$U$6)</f>
        <v/>
      </c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21">
        <f>AO37+$AU$2</f>
        <v/>
      </c>
      <c r="AP38" s="22">
        <f>($AP$3/$AP$4)*(1-EXP(-AO38*$AP$4/$AP$6))</f>
        <v/>
      </c>
      <c r="AQ38" s="22">
        <f>$AP$3*EXP(-AO38*$AP$4/$AP$6)</f>
        <v/>
      </c>
      <c r="AR38" s="23">
        <f>($AP$3/$AP$5)*EXP(-AO38*$AP$5/$AP$6)</f>
        <v/>
      </c>
      <c r="AS38" s="23">
        <f>-$AP$3*EXP(-AO38*$AP$5/$AP$6)</f>
        <v/>
      </c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5" t="n"/>
    </row>
    <row r="39">
      <c r="A39" s="24">
        <f>A38+$G$2</f>
        <v/>
      </c>
      <c r="B39" s="25">
        <f>($B$3/$B$4)*(1-EXP(-A39*$B$4/$B$6))</f>
        <v/>
      </c>
      <c r="C39" s="25">
        <f>$B$3*EXP(-A39*$B$4/$B$6)</f>
        <v/>
      </c>
      <c r="D39" s="26">
        <f>($B$3/$B$5)*EXP(-A39*$B$5/$B$6)</f>
        <v/>
      </c>
      <c r="E39" s="26">
        <f>-$B$3*EXP(-A39*$B$5/$B$6)</f>
        <v/>
      </c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24">
        <f>T38+$Z$2</f>
        <v/>
      </c>
      <c r="U39" s="25">
        <f>($U$3/$U$4)*(1-EXP(-T39*$U$4/$U$6))</f>
        <v/>
      </c>
      <c r="V39" s="25">
        <f>$U$3*EXP(-T39*$U$4/$U$6)</f>
        <v/>
      </c>
      <c r="W39" s="26">
        <f>($U$3/$U$5)*EXP(-T39*$U$5/$U$6)</f>
        <v/>
      </c>
      <c r="X39" s="26">
        <f>-$U$3*EXP(-T39*$U$5/$U$6)</f>
        <v/>
      </c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24">
        <f>AO38+$AU$2</f>
        <v/>
      </c>
      <c r="AP39" s="25">
        <f>($AP$3/$AP$4)*(1-EXP(-AO39*$AP$4/$AP$6))</f>
        <v/>
      </c>
      <c r="AQ39" s="25">
        <f>$AP$3*EXP(-AO39*$AP$4/$AP$6)</f>
        <v/>
      </c>
      <c r="AR39" s="26">
        <f>($AP$3/$AP$5)*EXP(-AO39*$AP$5/$AP$6)</f>
        <v/>
      </c>
      <c r="AS39" s="26">
        <f>-$AP$3*EXP(-AO39*$AP$5/$AP$6)</f>
        <v/>
      </c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5" t="n"/>
    </row>
    <row r="40">
      <c r="A40" s="21">
        <f>A39+$G$2</f>
        <v/>
      </c>
      <c r="B40" s="22">
        <f>($B$3/$B$4)*(1-EXP(-A40*$B$4/$B$6))</f>
        <v/>
      </c>
      <c r="C40" s="22">
        <f>$B$3*EXP(-A40*$B$4/$B$6)</f>
        <v/>
      </c>
      <c r="D40" s="23">
        <f>($B$3/$B$5)*EXP(-A40*$B$5/$B$6)</f>
        <v/>
      </c>
      <c r="E40" s="23">
        <f>-$B$3*EXP(-A40*$B$5/$B$6)</f>
        <v/>
      </c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21">
        <f>T39+$Z$2</f>
        <v/>
      </c>
      <c r="U40" s="22">
        <f>($U$3/$U$4)*(1-EXP(-T40*$U$4/$U$6))</f>
        <v/>
      </c>
      <c r="V40" s="22">
        <f>$U$3*EXP(-T40*$U$4/$U$6)</f>
        <v/>
      </c>
      <c r="W40" s="23">
        <f>($U$3/$U$5)*EXP(-T40*$U$5/$U$6)</f>
        <v/>
      </c>
      <c r="X40" s="23">
        <f>-$U$3*EXP(-T40*$U$5/$U$6)</f>
        <v/>
      </c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21">
        <f>AO39+$AU$2</f>
        <v/>
      </c>
      <c r="AP40" s="22">
        <f>($AP$3/$AP$4)*(1-EXP(-AO40*$AP$4/$AP$6))</f>
        <v/>
      </c>
      <c r="AQ40" s="22">
        <f>$AP$3*EXP(-AO40*$AP$4/$AP$6)</f>
        <v/>
      </c>
      <c r="AR40" s="23">
        <f>($AP$3/$AP$5)*EXP(-AO40*$AP$5/$AP$6)</f>
        <v/>
      </c>
      <c r="AS40" s="23">
        <f>-$AP$3*EXP(-AO40*$AP$5/$AP$6)</f>
        <v/>
      </c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5" t="n"/>
    </row>
    <row r="41">
      <c r="A41" s="24">
        <f>A40+$G$2</f>
        <v/>
      </c>
      <c r="B41" s="25">
        <f>($B$3/$B$4)*(1-EXP(-A41*$B$4/$B$6))</f>
        <v/>
      </c>
      <c r="C41" s="25">
        <f>$B$3*EXP(-A41*$B$4/$B$6)</f>
        <v/>
      </c>
      <c r="D41" s="26">
        <f>($B$3/$B$5)*EXP(-A41*$B$5/$B$6)</f>
        <v/>
      </c>
      <c r="E41" s="26">
        <f>-$B$3*EXP(-A41*$B$5/$B$6)</f>
        <v/>
      </c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24">
        <f>T40+$Z$2</f>
        <v/>
      </c>
      <c r="U41" s="25">
        <f>($U$3/$U$4)*(1-EXP(-T41*$U$4/$U$6))</f>
        <v/>
      </c>
      <c r="V41" s="25">
        <f>$U$3*EXP(-T41*$U$4/$U$6)</f>
        <v/>
      </c>
      <c r="W41" s="26">
        <f>($U$3/$U$5)*EXP(-T41*$U$5/$U$6)</f>
        <v/>
      </c>
      <c r="X41" s="26">
        <f>-$U$3*EXP(-T41*$U$5/$U$6)</f>
        <v/>
      </c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24">
        <f>AO40+$AU$2</f>
        <v/>
      </c>
      <c r="AP41" s="25">
        <f>($AP$3/$AP$4)*(1-EXP(-AO41*$AP$4/$AP$6))</f>
        <v/>
      </c>
      <c r="AQ41" s="25">
        <f>$AP$3*EXP(-AO41*$AP$4/$AP$6)</f>
        <v/>
      </c>
      <c r="AR41" s="26">
        <f>($AP$3/$AP$5)*EXP(-AO41*$AP$5/$AP$6)</f>
        <v/>
      </c>
      <c r="AS41" s="26">
        <f>-$AP$3*EXP(-AO41*$AP$5/$AP$6)</f>
        <v/>
      </c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5" t="n"/>
    </row>
    <row r="42">
      <c r="A42" s="21">
        <f>A41+$G$2</f>
        <v/>
      </c>
      <c r="B42" s="22">
        <f>($B$3/$B$4)*(1-EXP(-A42*$B$4/$B$6))</f>
        <v/>
      </c>
      <c r="C42" s="22">
        <f>$B$3*EXP(-A42*$B$4/$B$6)</f>
        <v/>
      </c>
      <c r="D42" s="23">
        <f>($B$3/$B$5)*EXP(-A42*$B$5/$B$6)</f>
        <v/>
      </c>
      <c r="E42" s="23">
        <f>-$B$3*EXP(-A42*$B$5/$B$6)</f>
        <v/>
      </c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21">
        <f>T41+$Z$2</f>
        <v/>
      </c>
      <c r="U42" s="22">
        <f>($U$3/$U$4)*(1-EXP(-T42*$U$4/$U$6))</f>
        <v/>
      </c>
      <c r="V42" s="22">
        <f>$U$3*EXP(-T42*$U$4/$U$6)</f>
        <v/>
      </c>
      <c r="W42" s="23">
        <f>($U$3/$U$5)*EXP(-T42*$U$5/$U$6)</f>
        <v/>
      </c>
      <c r="X42" s="23">
        <f>-$U$3*EXP(-T42*$U$5/$U$6)</f>
        <v/>
      </c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21">
        <f>AO41+$AU$2</f>
        <v/>
      </c>
      <c r="AP42" s="22">
        <f>($AP$3/$AP$4)*(1-EXP(-AO42*$AP$4/$AP$6))</f>
        <v/>
      </c>
      <c r="AQ42" s="22">
        <f>$AP$3*EXP(-AO42*$AP$4/$AP$6)</f>
        <v/>
      </c>
      <c r="AR42" s="23">
        <f>($AP$3/$AP$5)*EXP(-AO42*$AP$5/$AP$6)</f>
        <v/>
      </c>
      <c r="AS42" s="23">
        <f>-$AP$3*EXP(-AO42*$AP$5/$AP$6)</f>
        <v/>
      </c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5" t="n"/>
    </row>
    <row r="43">
      <c r="A43" s="24">
        <f>A42+$G$2</f>
        <v/>
      </c>
      <c r="B43" s="25">
        <f>($B$3/$B$4)*(1-EXP(-A43*$B$4/$B$6))</f>
        <v/>
      </c>
      <c r="C43" s="25">
        <f>$B$3*EXP(-A43*$B$4/$B$6)</f>
        <v/>
      </c>
      <c r="D43" s="26">
        <f>($B$3/$B$5)*EXP(-A43*$B$5/$B$6)</f>
        <v/>
      </c>
      <c r="E43" s="26">
        <f>-$B$3*EXP(-A43*$B$5/$B$6)</f>
        <v/>
      </c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24">
        <f>T42+$Z$2</f>
        <v/>
      </c>
      <c r="U43" s="25">
        <f>($U$3/$U$4)*(1-EXP(-T43*$U$4/$U$6))</f>
        <v/>
      </c>
      <c r="V43" s="25">
        <f>$U$3*EXP(-T43*$U$4/$U$6)</f>
        <v/>
      </c>
      <c r="W43" s="26">
        <f>($U$3/$U$5)*EXP(-T43*$U$5/$U$6)</f>
        <v/>
      </c>
      <c r="X43" s="26">
        <f>-$U$3*EXP(-T43*$U$5/$U$6)</f>
        <v/>
      </c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24">
        <f>AO42+$AU$2</f>
        <v/>
      </c>
      <c r="AP43" s="25">
        <f>($AP$3/$AP$4)*(1-EXP(-AO43*$AP$4/$AP$6))</f>
        <v/>
      </c>
      <c r="AQ43" s="25">
        <f>$AP$3*EXP(-AO43*$AP$4/$AP$6)</f>
        <v/>
      </c>
      <c r="AR43" s="26">
        <f>($AP$3/$AP$5)*EXP(-AO43*$AP$5/$AP$6)</f>
        <v/>
      </c>
      <c r="AS43" s="26">
        <f>-$AP$3*EXP(-AO43*$AP$5/$AP$6)</f>
        <v/>
      </c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5" t="n"/>
    </row>
    <row r="44">
      <c r="A44" s="21">
        <f>A43+$G$2</f>
        <v/>
      </c>
      <c r="B44" s="22">
        <f>($B$3/$B$4)*(1-EXP(-A44*$B$4/$B$6))</f>
        <v/>
      </c>
      <c r="C44" s="22">
        <f>$B$3*EXP(-A44*$B$4/$B$6)</f>
        <v/>
      </c>
      <c r="D44" s="23">
        <f>($B$3/$B$5)*EXP(-A44*$B$5/$B$6)</f>
        <v/>
      </c>
      <c r="E44" s="23">
        <f>-$B$3*EXP(-A44*$B$5/$B$6)</f>
        <v/>
      </c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21">
        <f>T43+$Z$2</f>
        <v/>
      </c>
      <c r="U44" s="22">
        <f>($U$3/$U$4)*(1-EXP(-T44*$U$4/$U$6))</f>
        <v/>
      </c>
      <c r="V44" s="22">
        <f>$U$3*EXP(-T44*$U$4/$U$6)</f>
        <v/>
      </c>
      <c r="W44" s="23">
        <f>($U$3/$U$5)*EXP(-T44*$U$5/$U$6)</f>
        <v/>
      </c>
      <c r="X44" s="23">
        <f>-$U$3*EXP(-T44*$U$5/$U$6)</f>
        <v/>
      </c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21">
        <f>AO43+$AU$2</f>
        <v/>
      </c>
      <c r="AP44" s="22">
        <f>($AP$3/$AP$4)*(1-EXP(-AO44*$AP$4/$AP$6))</f>
        <v/>
      </c>
      <c r="AQ44" s="22">
        <f>$AP$3*EXP(-AO44*$AP$4/$AP$6)</f>
        <v/>
      </c>
      <c r="AR44" s="23">
        <f>($AP$3/$AP$5)*EXP(-AO44*$AP$5/$AP$6)</f>
        <v/>
      </c>
      <c r="AS44" s="23">
        <f>-$AP$3*EXP(-AO44*$AP$5/$AP$6)</f>
        <v/>
      </c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5" t="n"/>
    </row>
    <row r="45">
      <c r="A45" s="24">
        <f>A44+$G$2</f>
        <v/>
      </c>
      <c r="B45" s="25">
        <f>($B$3/$B$4)*(1-EXP(-A45*$B$4/$B$6))</f>
        <v/>
      </c>
      <c r="C45" s="25">
        <f>$B$3*EXP(-A45*$B$4/$B$6)</f>
        <v/>
      </c>
      <c r="D45" s="26">
        <f>($B$3/$B$5)*EXP(-A45*$B$5/$B$6)</f>
        <v/>
      </c>
      <c r="E45" s="26">
        <f>-$B$3*EXP(-A45*$B$5/$B$6)</f>
        <v/>
      </c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24">
        <f>T44+$Z$2</f>
        <v/>
      </c>
      <c r="U45" s="25">
        <f>($U$3/$U$4)*(1-EXP(-T45*$U$4/$U$6))</f>
        <v/>
      </c>
      <c r="V45" s="25">
        <f>$U$3*EXP(-T45*$U$4/$U$6)</f>
        <v/>
      </c>
      <c r="W45" s="26">
        <f>($U$3/$U$5)*EXP(-T45*$U$5/$U$6)</f>
        <v/>
      </c>
      <c r="X45" s="26">
        <f>-$U$3*EXP(-T45*$U$5/$U$6)</f>
        <v/>
      </c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24">
        <f>AO44+$AU$2</f>
        <v/>
      </c>
      <c r="AP45" s="25">
        <f>($AP$3/$AP$4)*(1-EXP(-AO45*$AP$4/$AP$6))</f>
        <v/>
      </c>
      <c r="AQ45" s="25">
        <f>$AP$3*EXP(-AO45*$AP$4/$AP$6)</f>
        <v/>
      </c>
      <c r="AR45" s="26">
        <f>($AP$3/$AP$5)*EXP(-AO45*$AP$5/$AP$6)</f>
        <v/>
      </c>
      <c r="AS45" s="26">
        <f>-$AP$3*EXP(-AO45*$AP$5/$AP$6)</f>
        <v/>
      </c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5" t="n"/>
    </row>
    <row r="46">
      <c r="A46" s="21">
        <f>A45+$G$2</f>
        <v/>
      </c>
      <c r="B46" s="22">
        <f>($B$3/$B$4)*(1-EXP(-A46*$B$4/$B$6))</f>
        <v/>
      </c>
      <c r="C46" s="22">
        <f>$B$3*EXP(-A46*$B$4/$B$6)</f>
        <v/>
      </c>
      <c r="D46" s="23">
        <f>($B$3/$B$5)*EXP(-A46*$B$5/$B$6)</f>
        <v/>
      </c>
      <c r="E46" s="23">
        <f>-$B$3*EXP(-A46*$B$5/$B$6)</f>
        <v/>
      </c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21">
        <f>T45+$Z$2</f>
        <v/>
      </c>
      <c r="U46" s="22">
        <f>($U$3/$U$4)*(1-EXP(-T46*$U$4/$U$6))</f>
        <v/>
      </c>
      <c r="V46" s="22">
        <f>$U$3*EXP(-T46*$U$4/$U$6)</f>
        <v/>
      </c>
      <c r="W46" s="23">
        <f>($U$3/$U$5)*EXP(-T46*$U$5/$U$6)</f>
        <v/>
      </c>
      <c r="X46" s="23">
        <f>-$U$3*EXP(-T46*$U$5/$U$6)</f>
        <v/>
      </c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21">
        <f>AO45+$AU$2</f>
        <v/>
      </c>
      <c r="AP46" s="22">
        <f>($AP$3/$AP$4)*(1-EXP(-AO46*$AP$4/$AP$6))</f>
        <v/>
      </c>
      <c r="AQ46" s="22">
        <f>$AP$3*EXP(-AO46*$AP$4/$AP$6)</f>
        <v/>
      </c>
      <c r="AR46" s="23">
        <f>($AP$3/$AP$5)*EXP(-AO46*$AP$5/$AP$6)</f>
        <v/>
      </c>
      <c r="AS46" s="23">
        <f>-$AP$3*EXP(-AO46*$AP$5/$AP$6)</f>
        <v/>
      </c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5" t="n"/>
    </row>
    <row r="47">
      <c r="A47" s="24">
        <f>A46+$G$2</f>
        <v/>
      </c>
      <c r="B47" s="25">
        <f>($B$3/$B$4)*(1-EXP(-A47*$B$4/$B$6))</f>
        <v/>
      </c>
      <c r="C47" s="25">
        <f>$B$3*EXP(-A47*$B$4/$B$6)</f>
        <v/>
      </c>
      <c r="D47" s="26">
        <f>($B$3/$B$5)*EXP(-A47*$B$5/$B$6)</f>
        <v/>
      </c>
      <c r="E47" s="26">
        <f>-$B$3*EXP(-A47*$B$5/$B$6)</f>
        <v/>
      </c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24">
        <f>T46+$Z$2</f>
        <v/>
      </c>
      <c r="U47" s="25">
        <f>($U$3/$U$4)*(1-EXP(-T47*$U$4/$U$6))</f>
        <v/>
      </c>
      <c r="V47" s="25">
        <f>$U$3*EXP(-T47*$U$4/$U$6)</f>
        <v/>
      </c>
      <c r="W47" s="26">
        <f>($U$3/$U$5)*EXP(-T47*$U$5/$U$6)</f>
        <v/>
      </c>
      <c r="X47" s="26">
        <f>-$U$3*EXP(-T47*$U$5/$U$6)</f>
        <v/>
      </c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24">
        <f>AO46+$AU$2</f>
        <v/>
      </c>
      <c r="AP47" s="25">
        <f>($AP$3/$AP$4)*(1-EXP(-AO47*$AP$4/$AP$6))</f>
        <v/>
      </c>
      <c r="AQ47" s="25">
        <f>$AP$3*EXP(-AO47*$AP$4/$AP$6)</f>
        <v/>
      </c>
      <c r="AR47" s="26">
        <f>($AP$3/$AP$5)*EXP(-AO47*$AP$5/$AP$6)</f>
        <v/>
      </c>
      <c r="AS47" s="26">
        <f>-$AP$3*EXP(-AO47*$AP$5/$AP$6)</f>
        <v/>
      </c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5" t="n"/>
    </row>
    <row r="48">
      <c r="A48" s="21">
        <f>A47+$G$2</f>
        <v/>
      </c>
      <c r="B48" s="22">
        <f>($B$3/$B$4)*(1-EXP(-A48*$B$4/$B$6))</f>
        <v/>
      </c>
      <c r="C48" s="22">
        <f>$B$3*EXP(-A48*$B$4/$B$6)</f>
        <v/>
      </c>
      <c r="D48" s="23">
        <f>($B$3/$B$5)*EXP(-A48*$B$5/$B$6)</f>
        <v/>
      </c>
      <c r="E48" s="23">
        <f>-$B$3*EXP(-A48*$B$5/$B$6)</f>
        <v/>
      </c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21">
        <f>T47+$Z$2</f>
        <v/>
      </c>
      <c r="U48" s="22">
        <f>($U$3/$U$4)*(1-EXP(-T48*$U$4/$U$6))</f>
        <v/>
      </c>
      <c r="V48" s="22">
        <f>$U$3*EXP(-T48*$U$4/$U$6)</f>
        <v/>
      </c>
      <c r="W48" s="23">
        <f>($U$3/$U$5)*EXP(-T48*$U$5/$U$6)</f>
        <v/>
      </c>
      <c r="X48" s="23">
        <f>-$U$3*EXP(-T48*$U$5/$U$6)</f>
        <v/>
      </c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21">
        <f>AO47+$AU$2</f>
        <v/>
      </c>
      <c r="AP48" s="22">
        <f>($AP$3/$AP$4)*(1-EXP(-AO48*$AP$4/$AP$6))</f>
        <v/>
      </c>
      <c r="AQ48" s="22">
        <f>$AP$3*EXP(-AO48*$AP$4/$AP$6)</f>
        <v/>
      </c>
      <c r="AR48" s="23">
        <f>($AP$3/$AP$5)*EXP(-AO48*$AP$5/$AP$6)</f>
        <v/>
      </c>
      <c r="AS48" s="23">
        <f>-$AP$3*EXP(-AO48*$AP$5/$AP$6)</f>
        <v/>
      </c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5" t="n"/>
    </row>
    <row r="49">
      <c r="A49" s="24">
        <f>A48+$G$2</f>
        <v/>
      </c>
      <c r="B49" s="25">
        <f>($B$3/$B$4)*(1-EXP(-A49*$B$4/$B$6))</f>
        <v/>
      </c>
      <c r="C49" s="25">
        <f>$B$3*EXP(-A49*$B$4/$B$6)</f>
        <v/>
      </c>
      <c r="D49" s="26">
        <f>($B$3/$B$5)*EXP(-A49*$B$5/$B$6)</f>
        <v/>
      </c>
      <c r="E49" s="26">
        <f>-$B$3*EXP(-A49*$B$5/$B$6)</f>
        <v/>
      </c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24">
        <f>T48+$Z$2</f>
        <v/>
      </c>
      <c r="U49" s="25">
        <f>($U$3/$U$4)*(1-EXP(-T49*$U$4/$U$6))</f>
        <v/>
      </c>
      <c r="V49" s="25">
        <f>$U$3*EXP(-T49*$U$4/$U$6)</f>
        <v/>
      </c>
      <c r="W49" s="26">
        <f>($U$3/$U$5)*EXP(-T49*$U$5/$U$6)</f>
        <v/>
      </c>
      <c r="X49" s="26">
        <f>-$U$3*EXP(-T49*$U$5/$U$6)</f>
        <v/>
      </c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24">
        <f>AO48+$AU$2</f>
        <v/>
      </c>
      <c r="AP49" s="25">
        <f>($AP$3/$AP$4)*(1-EXP(-AO49*$AP$4/$AP$6))</f>
        <v/>
      </c>
      <c r="AQ49" s="25">
        <f>$AP$3*EXP(-AO49*$AP$4/$AP$6)</f>
        <v/>
      </c>
      <c r="AR49" s="26">
        <f>($AP$3/$AP$5)*EXP(-AO49*$AP$5/$AP$6)</f>
        <v/>
      </c>
      <c r="AS49" s="26">
        <f>-$AP$3*EXP(-AO49*$AP$5/$AP$6)</f>
        <v/>
      </c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5" t="n"/>
    </row>
    <row r="50">
      <c r="A50" s="21">
        <f>A49+$G$2</f>
        <v/>
      </c>
      <c r="B50" s="22">
        <f>($B$3/$B$4)*(1-EXP(-A50*$B$4/$B$6))</f>
        <v/>
      </c>
      <c r="C50" s="22">
        <f>$B$3*EXP(-A50*$B$4/$B$6)</f>
        <v/>
      </c>
      <c r="D50" s="23">
        <f>($B$3/$B$5)*EXP(-A50*$B$5/$B$6)</f>
        <v/>
      </c>
      <c r="E50" s="23">
        <f>-$B$3*EXP(-A50*$B$5/$B$6)</f>
        <v/>
      </c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21">
        <f>T49+$Z$2</f>
        <v/>
      </c>
      <c r="U50" s="22">
        <f>($U$3/$U$4)*(1-EXP(-T50*$U$4/$U$6))</f>
        <v/>
      </c>
      <c r="V50" s="22">
        <f>$U$3*EXP(-T50*$U$4/$U$6)</f>
        <v/>
      </c>
      <c r="W50" s="23">
        <f>($U$3/$U$5)*EXP(-T50*$U$5/$U$6)</f>
        <v/>
      </c>
      <c r="X50" s="23">
        <f>-$U$3*EXP(-T50*$U$5/$U$6)</f>
        <v/>
      </c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21">
        <f>AO49+$AU$2</f>
        <v/>
      </c>
      <c r="AP50" s="22">
        <f>($AP$3/$AP$4)*(1-EXP(-AO50*$AP$4/$AP$6))</f>
        <v/>
      </c>
      <c r="AQ50" s="22">
        <f>$AP$3*EXP(-AO50*$AP$4/$AP$6)</f>
        <v/>
      </c>
      <c r="AR50" s="23">
        <f>($AP$3/$AP$5)*EXP(-AO50*$AP$5/$AP$6)</f>
        <v/>
      </c>
      <c r="AS50" s="23">
        <f>-$AP$3*EXP(-AO50*$AP$5/$AP$6)</f>
        <v/>
      </c>
      <c r="AT50" s="5" t="n"/>
      <c r="AU50" s="5" t="n"/>
      <c r="AV50" s="5" t="n"/>
      <c r="AW50" s="5" t="n"/>
      <c r="AX50" s="5" t="n"/>
      <c r="AY50" s="5" t="n"/>
      <c r="AZ50" s="5" t="n"/>
      <c r="BA50" s="5" t="n"/>
      <c r="BB50" s="5" t="n"/>
      <c r="BC50" s="5" t="n"/>
    </row>
    <row r="51">
      <c r="A51" s="24">
        <f>A50+$G$2</f>
        <v/>
      </c>
      <c r="B51" s="25">
        <f>($B$3/$B$4)*(1-EXP(-A51*$B$4/$B$6))</f>
        <v/>
      </c>
      <c r="C51" s="25">
        <f>$B$3*EXP(-A51*$B$4/$B$6)</f>
        <v/>
      </c>
      <c r="D51" s="26">
        <f>($B$3/$B$5)*EXP(-A51*$B$5/$B$6)</f>
        <v/>
      </c>
      <c r="E51" s="26">
        <f>-$B$3*EXP(-A51*$B$5/$B$6)</f>
        <v/>
      </c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24">
        <f>T50+$Z$2</f>
        <v/>
      </c>
      <c r="U51" s="25">
        <f>($U$3/$U$4)*(1-EXP(-T51*$U$4/$U$6))</f>
        <v/>
      </c>
      <c r="V51" s="25">
        <f>$U$3*EXP(-T51*$U$4/$U$6)</f>
        <v/>
      </c>
      <c r="W51" s="26">
        <f>($U$3/$U$5)*EXP(-T51*$U$5/$U$6)</f>
        <v/>
      </c>
      <c r="X51" s="26">
        <f>-$U$3*EXP(-T51*$U$5/$U$6)</f>
        <v/>
      </c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24">
        <f>AO50+$AU$2</f>
        <v/>
      </c>
      <c r="AP51" s="25">
        <f>($AP$3/$AP$4)*(1-EXP(-AO51*$AP$4/$AP$6))</f>
        <v/>
      </c>
      <c r="AQ51" s="25">
        <f>$AP$3*EXP(-AO51*$AP$4/$AP$6)</f>
        <v/>
      </c>
      <c r="AR51" s="26">
        <f>($AP$3/$AP$5)*EXP(-AO51*$AP$5/$AP$6)</f>
        <v/>
      </c>
      <c r="AS51" s="26">
        <f>-$AP$3*EXP(-AO51*$AP$5/$AP$6)</f>
        <v/>
      </c>
      <c r="AT51" s="5" t="n"/>
      <c r="AU51" s="5" t="n"/>
      <c r="AV51" s="5" t="n"/>
      <c r="AW51" s="5" t="n"/>
      <c r="AX51" s="5" t="n"/>
      <c r="AY51" s="5" t="n"/>
      <c r="AZ51" s="5" t="n"/>
      <c r="BA51" s="5" t="n"/>
      <c r="BB51" s="5" t="n"/>
      <c r="BC51" s="5" t="n"/>
    </row>
    <row r="52">
      <c r="A52" s="21">
        <f>A51+$G$2</f>
        <v/>
      </c>
      <c r="B52" s="22">
        <f>($B$3/$B$4)*(1-EXP(-A52*$B$4/$B$6))</f>
        <v/>
      </c>
      <c r="C52" s="22">
        <f>$B$3*EXP(-A52*$B$4/$B$6)</f>
        <v/>
      </c>
      <c r="D52" s="23">
        <f>($B$3/$B$5)*EXP(-A52*$B$5/$B$6)</f>
        <v/>
      </c>
      <c r="E52" s="23">
        <f>-$B$3*EXP(-A52*$B$5/$B$6)</f>
        <v/>
      </c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21">
        <f>T51+$Z$2</f>
        <v/>
      </c>
      <c r="U52" s="22">
        <f>($U$3/$U$4)*(1-EXP(-T52*$U$4/$U$6))</f>
        <v/>
      </c>
      <c r="V52" s="22">
        <f>$U$3*EXP(-T52*$U$4/$U$6)</f>
        <v/>
      </c>
      <c r="W52" s="23">
        <f>($U$3/$U$5)*EXP(-T52*$U$5/$U$6)</f>
        <v/>
      </c>
      <c r="X52" s="23">
        <f>-$U$3*EXP(-T52*$U$5/$U$6)</f>
        <v/>
      </c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21">
        <f>AO51+$AU$2</f>
        <v/>
      </c>
      <c r="AP52" s="22">
        <f>($AP$3/$AP$4)*(1-EXP(-AO52*$AP$4/$AP$6))</f>
        <v/>
      </c>
      <c r="AQ52" s="22">
        <f>$AP$3*EXP(-AO52*$AP$4/$AP$6)</f>
        <v/>
      </c>
      <c r="AR52" s="23">
        <f>($AP$3/$AP$5)*EXP(-AO52*$AP$5/$AP$6)</f>
        <v/>
      </c>
      <c r="AS52" s="23">
        <f>-$AP$3*EXP(-AO52*$AP$5/$AP$6)</f>
        <v/>
      </c>
      <c r="AT52" s="5" t="n"/>
      <c r="AU52" s="5" t="n"/>
      <c r="AV52" s="5" t="n"/>
      <c r="AW52" s="5" t="n"/>
      <c r="AX52" s="5" t="n"/>
      <c r="AY52" s="5" t="n"/>
      <c r="AZ52" s="5" t="n"/>
      <c r="BA52" s="5" t="n"/>
      <c r="BB52" s="5" t="n"/>
      <c r="BC52" s="5" t="n"/>
    </row>
    <row r="53">
      <c r="A53" s="24">
        <f>A52+$G$2</f>
        <v/>
      </c>
      <c r="B53" s="25">
        <f>($B$3/$B$4)*(1-EXP(-A53*$B$4/$B$6))</f>
        <v/>
      </c>
      <c r="C53" s="25">
        <f>$B$3*EXP(-A53*$B$4/$B$6)</f>
        <v/>
      </c>
      <c r="D53" s="26">
        <f>($B$3/$B$5)*EXP(-A53*$B$5/$B$6)</f>
        <v/>
      </c>
      <c r="E53" s="26">
        <f>-$B$3*EXP(-A53*$B$5/$B$6)</f>
        <v/>
      </c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24">
        <f>T52+$Z$2</f>
        <v/>
      </c>
      <c r="U53" s="25">
        <f>($U$3/$U$4)*(1-EXP(-T53*$U$4/$U$6))</f>
        <v/>
      </c>
      <c r="V53" s="25">
        <f>$U$3*EXP(-T53*$U$4/$U$6)</f>
        <v/>
      </c>
      <c r="W53" s="26">
        <f>($U$3/$U$5)*EXP(-T53*$U$5/$U$6)</f>
        <v/>
      </c>
      <c r="X53" s="26">
        <f>-$U$3*EXP(-T53*$U$5/$U$6)</f>
        <v/>
      </c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24">
        <f>AO52+$AU$2</f>
        <v/>
      </c>
      <c r="AP53" s="25">
        <f>($AP$3/$AP$4)*(1-EXP(-AO53*$AP$4/$AP$6))</f>
        <v/>
      </c>
      <c r="AQ53" s="25">
        <f>$AP$3*EXP(-AO53*$AP$4/$AP$6)</f>
        <v/>
      </c>
      <c r="AR53" s="26">
        <f>($AP$3/$AP$5)*EXP(-AO53*$AP$5/$AP$6)</f>
        <v/>
      </c>
      <c r="AS53" s="26">
        <f>-$AP$3*EXP(-AO53*$AP$5/$AP$6)</f>
        <v/>
      </c>
      <c r="AT53" s="5" t="n"/>
      <c r="AU53" s="5" t="n"/>
      <c r="AV53" s="5" t="n"/>
      <c r="AW53" s="5" t="n"/>
      <c r="AX53" s="5" t="n"/>
      <c r="AY53" s="5" t="n"/>
      <c r="AZ53" s="5" t="n"/>
      <c r="BA53" s="5" t="n"/>
      <c r="BB53" s="5" t="n"/>
      <c r="BC53" s="5" t="n"/>
    </row>
    <row r="54">
      <c r="A54" s="21">
        <f>A53+$G$2</f>
        <v/>
      </c>
      <c r="B54" s="22">
        <f>($B$3/$B$4)*(1-EXP(-A54*$B$4/$B$6))</f>
        <v/>
      </c>
      <c r="C54" s="22">
        <f>$B$3*EXP(-A54*$B$4/$B$6)</f>
        <v/>
      </c>
      <c r="D54" s="23">
        <f>($B$3/$B$5)*EXP(-A54*$B$5/$B$6)</f>
        <v/>
      </c>
      <c r="E54" s="23">
        <f>-$B$3*EXP(-A54*$B$5/$B$6)</f>
        <v/>
      </c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21">
        <f>T53+$Z$2</f>
        <v/>
      </c>
      <c r="U54" s="22">
        <f>($U$3/$U$4)*(1-EXP(-T54*$U$4/$U$6))</f>
        <v/>
      </c>
      <c r="V54" s="22">
        <f>$U$3*EXP(-T54*$U$4/$U$6)</f>
        <v/>
      </c>
      <c r="W54" s="23">
        <f>($U$3/$U$5)*EXP(-T54*$U$5/$U$6)</f>
        <v/>
      </c>
      <c r="X54" s="23">
        <f>-$U$3*EXP(-T54*$U$5/$U$6)</f>
        <v/>
      </c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21">
        <f>AO53+$AU$2</f>
        <v/>
      </c>
      <c r="AP54" s="22">
        <f>($AP$3/$AP$4)*(1-EXP(-AO54*$AP$4/$AP$6))</f>
        <v/>
      </c>
      <c r="AQ54" s="22">
        <f>$AP$3*EXP(-AO54*$AP$4/$AP$6)</f>
        <v/>
      </c>
      <c r="AR54" s="23">
        <f>($AP$3/$AP$5)*EXP(-AO54*$AP$5/$AP$6)</f>
        <v/>
      </c>
      <c r="AS54" s="23">
        <f>-$AP$3*EXP(-AO54*$AP$5/$AP$6)</f>
        <v/>
      </c>
      <c r="AT54" s="5" t="n"/>
      <c r="AU54" s="5" t="n"/>
      <c r="AV54" s="5" t="n"/>
      <c r="AW54" s="5" t="n"/>
      <c r="AX54" s="5" t="n"/>
      <c r="AY54" s="5" t="n"/>
      <c r="AZ54" s="5" t="n"/>
      <c r="BA54" s="5" t="n"/>
      <c r="BB54" s="5" t="n"/>
      <c r="BC54" s="5" t="n"/>
    </row>
    <row r="55">
      <c r="A55" s="24">
        <f>A54+$G$2</f>
        <v/>
      </c>
      <c r="B55" s="25">
        <f>($B$3/$B$4)*(1-EXP(-A55*$B$4/$B$6))</f>
        <v/>
      </c>
      <c r="C55" s="25">
        <f>$B$3*EXP(-A55*$B$4/$B$6)</f>
        <v/>
      </c>
      <c r="D55" s="26">
        <f>($B$3/$B$5)*EXP(-A55*$B$5/$B$6)</f>
        <v/>
      </c>
      <c r="E55" s="26">
        <f>-$B$3*EXP(-A55*$B$5/$B$6)</f>
        <v/>
      </c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24">
        <f>T54+$Z$2</f>
        <v/>
      </c>
      <c r="U55" s="25">
        <f>($U$3/$U$4)*(1-EXP(-T55*$U$4/$U$6))</f>
        <v/>
      </c>
      <c r="V55" s="25">
        <f>$U$3*EXP(-T55*$U$4/$U$6)</f>
        <v/>
      </c>
      <c r="W55" s="26">
        <f>($U$3/$U$5)*EXP(-T55*$U$5/$U$6)</f>
        <v/>
      </c>
      <c r="X55" s="26">
        <f>-$U$3*EXP(-T55*$U$5/$U$6)</f>
        <v/>
      </c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24">
        <f>AO54+$AU$2</f>
        <v/>
      </c>
      <c r="AP55" s="25">
        <f>($AP$3/$AP$4)*(1-EXP(-AO55*$AP$4/$AP$6))</f>
        <v/>
      </c>
      <c r="AQ55" s="25">
        <f>$AP$3*EXP(-AO55*$AP$4/$AP$6)</f>
        <v/>
      </c>
      <c r="AR55" s="26">
        <f>($AP$3/$AP$5)*EXP(-AO55*$AP$5/$AP$6)</f>
        <v/>
      </c>
      <c r="AS55" s="26">
        <f>-$AP$3*EXP(-AO55*$AP$5/$AP$6)</f>
        <v/>
      </c>
      <c r="AT55" s="5" t="n"/>
      <c r="AU55" s="5" t="n"/>
      <c r="AV55" s="5" t="n"/>
      <c r="AW55" s="5" t="n"/>
      <c r="AX55" s="5" t="n"/>
      <c r="AY55" s="5" t="n"/>
      <c r="AZ55" s="5" t="n"/>
      <c r="BA55" s="5" t="n"/>
      <c r="BB55" s="5" t="n"/>
      <c r="BC55" s="5" t="n"/>
    </row>
    <row r="56">
      <c r="A56" s="21">
        <f>A55+$G$2</f>
        <v/>
      </c>
      <c r="B56" s="22">
        <f>($B$3/$B$4)*(1-EXP(-A56*$B$4/$B$6))</f>
        <v/>
      </c>
      <c r="C56" s="22">
        <f>$B$3*EXP(-A56*$B$4/$B$6)</f>
        <v/>
      </c>
      <c r="D56" s="23">
        <f>($B$3/$B$5)*EXP(-A56*$B$5/$B$6)</f>
        <v/>
      </c>
      <c r="E56" s="23">
        <f>-$B$3*EXP(-A56*$B$5/$B$6)</f>
        <v/>
      </c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21">
        <f>T55+$Z$2</f>
        <v/>
      </c>
      <c r="U56" s="22">
        <f>($U$3/$U$4)*(1-EXP(-T56*$U$4/$U$6))</f>
        <v/>
      </c>
      <c r="V56" s="22">
        <f>$U$3*EXP(-T56*$U$4/$U$6)</f>
        <v/>
      </c>
      <c r="W56" s="23">
        <f>($U$3/$U$5)*EXP(-T56*$U$5/$U$6)</f>
        <v/>
      </c>
      <c r="X56" s="23">
        <f>-$U$3*EXP(-T56*$U$5/$U$6)</f>
        <v/>
      </c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21">
        <f>AO55+$AU$2</f>
        <v/>
      </c>
      <c r="AP56" s="22">
        <f>($AP$3/$AP$4)*(1-EXP(-AO56*$AP$4/$AP$6))</f>
        <v/>
      </c>
      <c r="AQ56" s="22">
        <f>$AP$3*EXP(-AO56*$AP$4/$AP$6)</f>
        <v/>
      </c>
      <c r="AR56" s="23">
        <f>($AP$3/$AP$5)*EXP(-AO56*$AP$5/$AP$6)</f>
        <v/>
      </c>
      <c r="AS56" s="23">
        <f>-$AP$3*EXP(-AO56*$AP$5/$AP$6)</f>
        <v/>
      </c>
      <c r="AT56" s="5" t="n"/>
      <c r="AU56" s="5" t="n"/>
      <c r="AV56" s="5" t="n"/>
      <c r="AW56" s="5" t="n"/>
      <c r="AX56" s="5" t="n"/>
      <c r="AY56" s="5" t="n"/>
      <c r="AZ56" s="5" t="n"/>
      <c r="BA56" s="5" t="n"/>
      <c r="BB56" s="5" t="n"/>
      <c r="BC56" s="5" t="n"/>
    </row>
    <row r="57">
      <c r="A57" s="24">
        <f>A56+$G$2</f>
        <v/>
      </c>
      <c r="B57" s="25">
        <f>($B$3/$B$4)*(1-EXP(-A57*$B$4/$B$6))</f>
        <v/>
      </c>
      <c r="C57" s="25">
        <f>$B$3*EXP(-A57*$B$4/$B$6)</f>
        <v/>
      </c>
      <c r="D57" s="26">
        <f>($B$3/$B$5)*EXP(-A57*$B$5/$B$6)</f>
        <v/>
      </c>
      <c r="E57" s="26">
        <f>-$B$3*EXP(-A57*$B$5/$B$6)</f>
        <v/>
      </c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24">
        <f>T56+$Z$2</f>
        <v/>
      </c>
      <c r="U57" s="25">
        <f>($U$3/$U$4)*(1-EXP(-T57*$U$4/$U$6))</f>
        <v/>
      </c>
      <c r="V57" s="25">
        <f>$U$3*EXP(-T57*$U$4/$U$6)</f>
        <v/>
      </c>
      <c r="W57" s="26">
        <f>($U$3/$U$5)*EXP(-T57*$U$5/$U$6)</f>
        <v/>
      </c>
      <c r="X57" s="26">
        <f>-$U$3*EXP(-T57*$U$5/$U$6)</f>
        <v/>
      </c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24">
        <f>AO56+$AU$2</f>
        <v/>
      </c>
      <c r="AP57" s="25">
        <f>($AP$3/$AP$4)*(1-EXP(-AO57*$AP$4/$AP$6))</f>
        <v/>
      </c>
      <c r="AQ57" s="25">
        <f>$AP$3*EXP(-AO57*$AP$4/$AP$6)</f>
        <v/>
      </c>
      <c r="AR57" s="26">
        <f>($AP$3/$AP$5)*EXP(-AO57*$AP$5/$AP$6)</f>
        <v/>
      </c>
      <c r="AS57" s="26">
        <f>-$AP$3*EXP(-AO57*$AP$5/$AP$6)</f>
        <v/>
      </c>
      <c r="AT57" s="5" t="n"/>
      <c r="AU57" s="5" t="n"/>
      <c r="AV57" s="5" t="n"/>
      <c r="AW57" s="5" t="n"/>
      <c r="AX57" s="5" t="n"/>
      <c r="AY57" s="5" t="n"/>
      <c r="AZ57" s="5" t="n"/>
      <c r="BA57" s="5" t="n"/>
      <c r="BB57" s="5" t="n"/>
      <c r="BC57" s="5" t="n"/>
    </row>
    <row r="58">
      <c r="A58" s="21">
        <f>A57+$G$2</f>
        <v/>
      </c>
      <c r="B58" s="22">
        <f>($B$3/$B$4)*(1-EXP(-A58*$B$4/$B$6))</f>
        <v/>
      </c>
      <c r="C58" s="22">
        <f>$B$3*EXP(-A58*$B$4/$B$6)</f>
        <v/>
      </c>
      <c r="D58" s="23">
        <f>($B$3/$B$5)*EXP(-A58*$B$5/$B$6)</f>
        <v/>
      </c>
      <c r="E58" s="23">
        <f>-$B$3*EXP(-A58*$B$5/$B$6)</f>
        <v/>
      </c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21">
        <f>T57+$Z$2</f>
        <v/>
      </c>
      <c r="U58" s="22">
        <f>($U$3/$U$4)*(1-EXP(-T58*$U$4/$U$6))</f>
        <v/>
      </c>
      <c r="V58" s="22">
        <f>$U$3*EXP(-T58*$U$4/$U$6)</f>
        <v/>
      </c>
      <c r="W58" s="23">
        <f>($U$3/$U$5)*EXP(-T58*$U$5/$U$6)</f>
        <v/>
      </c>
      <c r="X58" s="23">
        <f>-$U$3*EXP(-T58*$U$5/$U$6)</f>
        <v/>
      </c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21">
        <f>AO57+$AU$2</f>
        <v/>
      </c>
      <c r="AP58" s="22">
        <f>($AP$3/$AP$4)*(1-EXP(-AO58*$AP$4/$AP$6))</f>
        <v/>
      </c>
      <c r="AQ58" s="22">
        <f>$AP$3*EXP(-AO58*$AP$4/$AP$6)</f>
        <v/>
      </c>
      <c r="AR58" s="23">
        <f>($AP$3/$AP$5)*EXP(-AO58*$AP$5/$AP$6)</f>
        <v/>
      </c>
      <c r="AS58" s="23">
        <f>-$AP$3*EXP(-AO58*$AP$5/$AP$6)</f>
        <v/>
      </c>
      <c r="AT58" s="5" t="n"/>
      <c r="AU58" s="5" t="n"/>
      <c r="AV58" s="5" t="n"/>
      <c r="AW58" s="5" t="n"/>
      <c r="AX58" s="5" t="n"/>
      <c r="AY58" s="5" t="n"/>
      <c r="AZ58" s="5" t="n"/>
      <c r="BA58" s="5" t="n"/>
      <c r="BB58" s="5" t="n"/>
      <c r="BC58" s="5" t="n"/>
    </row>
    <row r="59">
      <c r="A59" s="24">
        <f>A58+$G$2</f>
        <v/>
      </c>
      <c r="B59" s="25">
        <f>($B$3/$B$4)*(1-EXP(-A59*$B$4/$B$6))</f>
        <v/>
      </c>
      <c r="C59" s="25">
        <f>$B$3*EXP(-A59*$B$4/$B$6)</f>
        <v/>
      </c>
      <c r="D59" s="26">
        <f>($B$3/$B$5)*EXP(-A59*$B$5/$B$6)</f>
        <v/>
      </c>
      <c r="E59" s="26">
        <f>-$B$3*EXP(-A59*$B$5/$B$6)</f>
        <v/>
      </c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24">
        <f>T58+$Z$2</f>
        <v/>
      </c>
      <c r="U59" s="25">
        <f>($U$3/$U$4)*(1-EXP(-T59*$U$4/$U$6))</f>
        <v/>
      </c>
      <c r="V59" s="25">
        <f>$U$3*EXP(-T59*$U$4/$U$6)</f>
        <v/>
      </c>
      <c r="W59" s="26">
        <f>($U$3/$U$5)*EXP(-T59*$U$5/$U$6)</f>
        <v/>
      </c>
      <c r="X59" s="26">
        <f>-$U$3*EXP(-T59*$U$5/$U$6)</f>
        <v/>
      </c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24">
        <f>AO58+$AU$2</f>
        <v/>
      </c>
      <c r="AP59" s="25">
        <f>($AP$3/$AP$4)*(1-EXP(-AO59*$AP$4/$AP$6))</f>
        <v/>
      </c>
      <c r="AQ59" s="25">
        <f>$AP$3*EXP(-AO59*$AP$4/$AP$6)</f>
        <v/>
      </c>
      <c r="AR59" s="26">
        <f>($AP$3/$AP$5)*EXP(-AO59*$AP$5/$AP$6)</f>
        <v/>
      </c>
      <c r="AS59" s="26">
        <f>-$AP$3*EXP(-AO59*$AP$5/$AP$6)</f>
        <v/>
      </c>
      <c r="AT59" s="5" t="n"/>
      <c r="AU59" s="5" t="n"/>
      <c r="AV59" s="5" t="n"/>
      <c r="AW59" s="5" t="n"/>
      <c r="AX59" s="5" t="n"/>
      <c r="AY59" s="5" t="n"/>
      <c r="AZ59" s="5" t="n"/>
      <c r="BA59" s="5" t="n"/>
      <c r="BB59" s="5" t="n"/>
      <c r="BC59" s="5" t="n"/>
    </row>
    <row r="60">
      <c r="A60" s="21">
        <f>A59+$G$2</f>
        <v/>
      </c>
      <c r="B60" s="22">
        <f>($B$3/$B$4)*(1-EXP(-A60*$B$4/$B$6))</f>
        <v/>
      </c>
      <c r="C60" s="22">
        <f>$B$3*EXP(-A60*$B$4/$B$6)</f>
        <v/>
      </c>
      <c r="D60" s="23">
        <f>($B$3/$B$5)*EXP(-A60*$B$5/$B$6)</f>
        <v/>
      </c>
      <c r="E60" s="23">
        <f>-$B$3*EXP(-A60*$B$5/$B$6)</f>
        <v/>
      </c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21">
        <f>T59+$Z$2</f>
        <v/>
      </c>
      <c r="U60" s="22">
        <f>($U$3/$U$4)*(1-EXP(-T60*$U$4/$U$6))</f>
        <v/>
      </c>
      <c r="V60" s="22">
        <f>$U$3*EXP(-T60*$U$4/$U$6)</f>
        <v/>
      </c>
      <c r="W60" s="23">
        <f>($U$3/$U$5)*EXP(-T60*$U$5/$U$6)</f>
        <v/>
      </c>
      <c r="X60" s="23">
        <f>-$U$3*EXP(-T60*$U$5/$U$6)</f>
        <v/>
      </c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21">
        <f>AO59+$AU$2</f>
        <v/>
      </c>
      <c r="AP60" s="22">
        <f>($AP$3/$AP$4)*(1-EXP(-AO60*$AP$4/$AP$6))</f>
        <v/>
      </c>
      <c r="AQ60" s="22">
        <f>$AP$3*EXP(-AO60*$AP$4/$AP$6)</f>
        <v/>
      </c>
      <c r="AR60" s="23">
        <f>($AP$3/$AP$5)*EXP(-AO60*$AP$5/$AP$6)</f>
        <v/>
      </c>
      <c r="AS60" s="23">
        <f>-$AP$3*EXP(-AO60*$AP$5/$AP$6)</f>
        <v/>
      </c>
      <c r="AT60" s="5" t="n"/>
      <c r="AU60" s="5" t="n"/>
      <c r="AV60" s="5" t="n"/>
      <c r="AW60" s="5" t="n"/>
      <c r="AX60" s="5" t="n"/>
      <c r="AY60" s="5" t="n"/>
      <c r="AZ60" s="5" t="n"/>
      <c r="BA60" s="5" t="n"/>
      <c r="BB60" s="5" t="n"/>
      <c r="BC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  <c r="AU61" s="5" t="n"/>
      <c r="AV61" s="5" t="n"/>
      <c r="AW61" s="5" t="n"/>
      <c r="AX61" s="5" t="n"/>
      <c r="AY61" s="5" t="n"/>
      <c r="AZ61" s="5" t="n"/>
      <c r="BA61" s="5" t="n"/>
      <c r="BB61" s="5" t="n"/>
      <c r="BC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  <c r="AU62" s="5" t="n"/>
      <c r="AV62" s="5" t="n"/>
      <c r="AW62" s="5" t="n"/>
      <c r="AX62" s="5" t="n"/>
      <c r="AY62" s="5" t="n"/>
      <c r="AZ62" s="5" t="n"/>
      <c r="BA62" s="5" t="n"/>
      <c r="BB62" s="5" t="n"/>
      <c r="BC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  <c r="AU63" s="5" t="n"/>
      <c r="AV63" s="5" t="n"/>
      <c r="AW63" s="5" t="n"/>
      <c r="AX63" s="5" t="n"/>
      <c r="AY63" s="5" t="n"/>
      <c r="AZ63" s="5" t="n"/>
      <c r="BA63" s="5" t="n"/>
      <c r="BB63" s="5" t="n"/>
      <c r="BC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  <c r="AU64" s="5" t="n"/>
      <c r="AV64" s="5" t="n"/>
      <c r="AW64" s="5" t="n"/>
      <c r="AX64" s="5" t="n"/>
      <c r="AY64" s="5" t="n"/>
      <c r="AZ64" s="5" t="n"/>
      <c r="BA64" s="5" t="n"/>
      <c r="BB64" s="5" t="n"/>
      <c r="BC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  <c r="AU65" s="5" t="n"/>
      <c r="AV65" s="5" t="n"/>
      <c r="AW65" s="5" t="n"/>
      <c r="AX65" s="5" t="n"/>
      <c r="AY65" s="5" t="n"/>
      <c r="AZ65" s="5" t="n"/>
      <c r="BA65" s="5" t="n"/>
      <c r="BB65" s="5" t="n"/>
      <c r="BC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  <c r="AU66" s="5" t="n"/>
      <c r="AV66" s="5" t="n"/>
      <c r="AW66" s="5" t="n"/>
      <c r="AX66" s="5" t="n"/>
      <c r="AY66" s="5" t="n"/>
      <c r="AZ66" s="5" t="n"/>
      <c r="BA66" s="5" t="n"/>
      <c r="BB66" s="5" t="n"/>
      <c r="BC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  <c r="AP67" s="5" t="n"/>
      <c r="AQ67" s="5" t="n"/>
      <c r="AR67" s="5" t="n"/>
      <c r="AS67" s="5" t="n"/>
      <c r="AT67" s="5" t="n"/>
      <c r="AU67" s="5" t="n"/>
      <c r="AV67" s="5" t="n"/>
      <c r="AW67" s="5" t="n"/>
      <c r="AX67" s="5" t="n"/>
      <c r="AY67" s="5" t="n"/>
      <c r="AZ67" s="5" t="n"/>
      <c r="BA67" s="5" t="n"/>
      <c r="BB67" s="5" t="n"/>
      <c r="BC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27" t="inlineStr">
        <is>
          <t>Разряд для графика (10τр)</t>
        </is>
      </c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27" t="inlineStr">
        <is>
          <t>Разряд для графика (10τр)</t>
        </is>
      </c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  <c r="AP68" s="5" t="n"/>
      <c r="AQ68" s="5" t="n"/>
      <c r="AR68" s="5" t="n"/>
      <c r="AS68" s="5" t="n"/>
      <c r="AT68" s="5" t="n"/>
      <c r="AU68" s="5" t="n"/>
      <c r="AV68" s="5" t="n"/>
      <c r="AW68" s="27" t="inlineStr">
        <is>
          <t>Разряд для графика (10τр)</t>
        </is>
      </c>
      <c r="AX68" s="5" t="n"/>
      <c r="AY68" s="5" t="n"/>
      <c r="AZ68" s="5" t="n"/>
      <c r="BA68" s="5" t="n"/>
      <c r="BB68" s="5" t="n"/>
      <c r="BC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3" t="inlineStr">
        <is>
          <t>tр, c</t>
        </is>
      </c>
      <c r="J69" s="7" t="inlineStr">
        <is>
          <t>Iр, А</t>
        </is>
      </c>
      <c r="K69" s="20" t="inlineStr">
        <is>
          <t>Uр, В</t>
        </is>
      </c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3" t="inlineStr">
        <is>
          <t>tр, c</t>
        </is>
      </c>
      <c r="AC69" s="7" t="inlineStr">
        <is>
          <t>Iр, А</t>
        </is>
      </c>
      <c r="AD69" s="20" t="inlineStr">
        <is>
          <t>Uр, В</t>
        </is>
      </c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  <c r="AU69" s="5" t="n"/>
      <c r="AV69" s="5" t="n"/>
      <c r="AW69" s="3" t="inlineStr">
        <is>
          <t>tр, c</t>
        </is>
      </c>
      <c r="AX69" s="7" t="inlineStr">
        <is>
          <t>Iр, А</t>
        </is>
      </c>
      <c r="AY69" s="20" t="inlineStr">
        <is>
          <t>Uр, В</t>
        </is>
      </c>
      <c r="AZ69" s="5" t="n"/>
      <c r="BA69" s="5" t="n"/>
      <c r="BB69" s="5" t="n"/>
      <c r="BC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28" t="n">
        <v>0</v>
      </c>
      <c r="J70" s="23">
        <f>($B$3/$B$5)*EXP(-I70*$B$5/$B$6)</f>
        <v/>
      </c>
      <c r="K70" s="23">
        <f>-$B$3*EXP(-I70*$B$5/$B$6)</f>
        <v/>
      </c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28" t="n">
        <v>0</v>
      </c>
      <c r="AC70" s="23">
        <f>($U$3/$U$5)*EXP(-AB70*$U$5/$U$6)</f>
        <v/>
      </c>
      <c r="AD70" s="23">
        <f>-$U$3*EXP(-AB70*$U$5/$U$6)</f>
        <v/>
      </c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  <c r="AP70" s="5" t="n"/>
      <c r="AQ70" s="5" t="n"/>
      <c r="AR70" s="5" t="n"/>
      <c r="AS70" s="5" t="n"/>
      <c r="AT70" s="5" t="n"/>
      <c r="AU70" s="5" t="n"/>
      <c r="AV70" s="5" t="n"/>
      <c r="AW70" s="28" t="n">
        <v>0</v>
      </c>
      <c r="AX70" s="23">
        <f>($AP$3/$AP$5)*EXP(-AW70*$AP$5/$AP$6)</f>
        <v/>
      </c>
      <c r="AY70" s="23">
        <f>-$AP$3*EXP(-AW70*$AP$5/$AP$6)</f>
        <v/>
      </c>
      <c r="AZ70" s="5" t="n"/>
      <c r="BA70" s="5" t="n"/>
      <c r="BB70" s="5" t="n"/>
      <c r="BC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29">
        <f>I70+$H$2</f>
        <v/>
      </c>
      <c r="J71" s="26">
        <f>($B$3/$B$5)*EXP(-I71*$B$5/$B$6)</f>
        <v/>
      </c>
      <c r="K71" s="26">
        <f>-$B$3*EXP(-I71*$B$5/$B$6)</f>
        <v/>
      </c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29">
        <f>AB70+$AA$2</f>
        <v/>
      </c>
      <c r="AC71" s="26">
        <f>($U$3/$U$5)*EXP(-AB71*$U$5/$U$6)</f>
        <v/>
      </c>
      <c r="AD71" s="26">
        <f>-$U$3*EXP(-AB71*$U$5/$U$6)</f>
        <v/>
      </c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  <c r="AQ71" s="5" t="n"/>
      <c r="AR71" s="5" t="n"/>
      <c r="AS71" s="5" t="n"/>
      <c r="AT71" s="5" t="n"/>
      <c r="AU71" s="5" t="n"/>
      <c r="AV71" s="5" t="n"/>
      <c r="AW71" s="29">
        <f>AW70+$AV$2</f>
        <v/>
      </c>
      <c r="AX71" s="26">
        <f>($AP$3/$AP$5)*EXP(-AW71*$AP$5/$AP$6)</f>
        <v/>
      </c>
      <c r="AY71" s="26">
        <f>-$AP$3*EXP(-AW71*$AP$5/$AP$6)</f>
        <v/>
      </c>
      <c r="AZ71" s="5" t="n"/>
      <c r="BA71" s="5" t="n"/>
      <c r="BB71" s="5" t="n"/>
      <c r="BC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28">
        <f>I71+$H$2</f>
        <v/>
      </c>
      <c r="J72" s="23">
        <f>($B$3/$B$5)*EXP(-I72*$B$5/$B$6)</f>
        <v/>
      </c>
      <c r="K72" s="23">
        <f>-$B$3*EXP(-I72*$B$5/$B$6)</f>
        <v/>
      </c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28">
        <f>AB71+$AA$2</f>
        <v/>
      </c>
      <c r="AC72" s="23">
        <f>($U$3/$U$5)*EXP(-AB72*$U$5/$U$6)</f>
        <v/>
      </c>
      <c r="AD72" s="23">
        <f>-$U$3*EXP(-AB72*$U$5/$U$6)</f>
        <v/>
      </c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  <c r="AU72" s="5" t="n"/>
      <c r="AV72" s="5" t="n"/>
      <c r="AW72" s="28">
        <f>AW71+$AV$2</f>
        <v/>
      </c>
      <c r="AX72" s="23">
        <f>($AP$3/$AP$5)*EXP(-AW72*$AP$5/$AP$6)</f>
        <v/>
      </c>
      <c r="AY72" s="23">
        <f>-$AP$3*EXP(-AW72*$AP$5/$AP$6)</f>
        <v/>
      </c>
      <c r="AZ72" s="5" t="n"/>
      <c r="BA72" s="5" t="n"/>
      <c r="BB72" s="5" t="n"/>
      <c r="BC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29">
        <f>I72+$H$2</f>
        <v/>
      </c>
      <c r="J73" s="26">
        <f>($B$3/$B$5)*EXP(-I73*$B$5/$B$6)</f>
        <v/>
      </c>
      <c r="K73" s="26">
        <f>-$B$3*EXP(-I73*$B$5/$B$6)</f>
        <v/>
      </c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29">
        <f>AB72+$AA$2</f>
        <v/>
      </c>
      <c r="AC73" s="26">
        <f>($U$3/$U$5)*EXP(-AB73*$U$5/$U$6)</f>
        <v/>
      </c>
      <c r="AD73" s="26">
        <f>-$U$3*EXP(-AB73*$U$5/$U$6)</f>
        <v/>
      </c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  <c r="AU73" s="5" t="n"/>
      <c r="AV73" s="5" t="n"/>
      <c r="AW73" s="29">
        <f>AW72+$AV$2</f>
        <v/>
      </c>
      <c r="AX73" s="26">
        <f>($AP$3/$AP$5)*EXP(-AW73*$AP$5/$AP$6)</f>
        <v/>
      </c>
      <c r="AY73" s="26">
        <f>-$AP$3*EXP(-AW73*$AP$5/$AP$6)</f>
        <v/>
      </c>
      <c r="AZ73" s="5" t="n"/>
      <c r="BA73" s="5" t="n"/>
      <c r="BB73" s="5" t="n"/>
      <c r="BC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28">
        <f>I73+$H$2</f>
        <v/>
      </c>
      <c r="J74" s="23">
        <f>($B$3/$B$5)*EXP(-I74*$B$5/$B$6)</f>
        <v/>
      </c>
      <c r="K74" s="23">
        <f>-$B$3*EXP(-I74*$B$5/$B$6)</f>
        <v/>
      </c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28">
        <f>AB73+$AA$2</f>
        <v/>
      </c>
      <c r="AC74" s="23">
        <f>($U$3/$U$5)*EXP(-AB74*$U$5/$U$6)</f>
        <v/>
      </c>
      <c r="AD74" s="23">
        <f>-$U$3*EXP(-AB74*$U$5/$U$6)</f>
        <v/>
      </c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  <c r="AU74" s="5" t="n"/>
      <c r="AV74" s="5" t="n"/>
      <c r="AW74" s="28">
        <f>AW73+$AV$2</f>
        <v/>
      </c>
      <c r="AX74" s="23">
        <f>($AP$3/$AP$5)*EXP(-AW74*$AP$5/$AP$6)</f>
        <v/>
      </c>
      <c r="AY74" s="23">
        <f>-$AP$3*EXP(-AW74*$AP$5/$AP$6)</f>
        <v/>
      </c>
      <c r="AZ74" s="5" t="n"/>
      <c r="BA74" s="5" t="n"/>
      <c r="BB74" s="5" t="n"/>
      <c r="BC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29">
        <f>I74+$H$2</f>
        <v/>
      </c>
      <c r="J75" s="26">
        <f>($B$3/$B$5)*EXP(-I75*$B$5/$B$6)</f>
        <v/>
      </c>
      <c r="K75" s="26">
        <f>-$B$3*EXP(-I75*$B$5/$B$6)</f>
        <v/>
      </c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29">
        <f>AB74+$AA$2</f>
        <v/>
      </c>
      <c r="AC75" s="26">
        <f>($U$3/$U$5)*EXP(-AB75*$U$5/$U$6)</f>
        <v/>
      </c>
      <c r="AD75" s="26">
        <f>-$U$3*EXP(-AB75*$U$5/$U$6)</f>
        <v/>
      </c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  <c r="AP75" s="5" t="n"/>
      <c r="AQ75" s="5" t="n"/>
      <c r="AR75" s="5" t="n"/>
      <c r="AS75" s="5" t="n"/>
      <c r="AT75" s="5" t="n"/>
      <c r="AU75" s="5" t="n"/>
      <c r="AV75" s="5" t="n"/>
      <c r="AW75" s="29">
        <f>AW74+$AV$2</f>
        <v/>
      </c>
      <c r="AX75" s="26">
        <f>($AP$3/$AP$5)*EXP(-AW75*$AP$5/$AP$6)</f>
        <v/>
      </c>
      <c r="AY75" s="26">
        <f>-$AP$3*EXP(-AW75*$AP$5/$AP$6)</f>
        <v/>
      </c>
      <c r="AZ75" s="5" t="n"/>
      <c r="BA75" s="5" t="n"/>
      <c r="BB75" s="5" t="n"/>
      <c r="BC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28">
        <f>I75+$H$2</f>
        <v/>
      </c>
      <c r="J76" s="23">
        <f>($B$3/$B$5)*EXP(-I76*$B$5/$B$6)</f>
        <v/>
      </c>
      <c r="K76" s="23">
        <f>-$B$3*EXP(-I76*$B$5/$B$6)</f>
        <v/>
      </c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28">
        <f>AB75+$AA$2</f>
        <v/>
      </c>
      <c r="AC76" s="23">
        <f>($U$3/$U$5)*EXP(-AB76*$U$5/$U$6)</f>
        <v/>
      </c>
      <c r="AD76" s="23">
        <f>-$U$3*EXP(-AB76*$U$5/$U$6)</f>
        <v/>
      </c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  <c r="AP76" s="5" t="n"/>
      <c r="AQ76" s="5" t="n"/>
      <c r="AR76" s="5" t="n"/>
      <c r="AS76" s="5" t="n"/>
      <c r="AT76" s="5" t="n"/>
      <c r="AU76" s="5" t="n"/>
      <c r="AV76" s="5" t="n"/>
      <c r="AW76" s="28">
        <f>AW75+$AV$2</f>
        <v/>
      </c>
      <c r="AX76" s="23">
        <f>($AP$3/$AP$5)*EXP(-AW76*$AP$5/$AP$6)</f>
        <v/>
      </c>
      <c r="AY76" s="23">
        <f>-$AP$3*EXP(-AW76*$AP$5/$AP$6)</f>
        <v/>
      </c>
      <c r="AZ76" s="5" t="n"/>
      <c r="BA76" s="5" t="n"/>
      <c r="BB76" s="5" t="n"/>
      <c r="BC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29">
        <f>I76+$H$2</f>
        <v/>
      </c>
      <c r="J77" s="26">
        <f>($B$3/$B$5)*EXP(-I77*$B$5/$B$6)</f>
        <v/>
      </c>
      <c r="K77" s="26">
        <f>-$B$3*EXP(-I77*$B$5/$B$6)</f>
        <v/>
      </c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29">
        <f>AB76+$AA$2</f>
        <v/>
      </c>
      <c r="AC77" s="26">
        <f>($U$3/$U$5)*EXP(-AB77*$U$5/$U$6)</f>
        <v/>
      </c>
      <c r="AD77" s="26">
        <f>-$U$3*EXP(-AB77*$U$5/$U$6)</f>
        <v/>
      </c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  <c r="AU77" s="5" t="n"/>
      <c r="AV77" s="5" t="n"/>
      <c r="AW77" s="29">
        <f>AW76+$AV$2</f>
        <v/>
      </c>
      <c r="AX77" s="26">
        <f>($AP$3/$AP$5)*EXP(-AW77*$AP$5/$AP$6)</f>
        <v/>
      </c>
      <c r="AY77" s="26">
        <f>-$AP$3*EXP(-AW77*$AP$5/$AP$6)</f>
        <v/>
      </c>
      <c r="AZ77" s="5" t="n"/>
      <c r="BA77" s="5" t="n"/>
      <c r="BB77" s="5" t="n"/>
      <c r="BC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28">
        <f>I77+$H$2</f>
        <v/>
      </c>
      <c r="J78" s="23">
        <f>($B$3/$B$5)*EXP(-I78*$B$5/$B$6)</f>
        <v/>
      </c>
      <c r="K78" s="23">
        <f>-$B$3*EXP(-I78*$B$5/$B$6)</f>
        <v/>
      </c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28">
        <f>AB77+$AA$2</f>
        <v/>
      </c>
      <c r="AC78" s="23">
        <f>($U$3/$U$5)*EXP(-AB78*$U$5/$U$6)</f>
        <v/>
      </c>
      <c r="AD78" s="23">
        <f>-$U$3*EXP(-AB78*$U$5/$U$6)</f>
        <v/>
      </c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  <c r="AU78" s="5" t="n"/>
      <c r="AV78" s="5" t="n"/>
      <c r="AW78" s="28">
        <f>AW77+$AV$2</f>
        <v/>
      </c>
      <c r="AX78" s="23">
        <f>($AP$3/$AP$5)*EXP(-AW78*$AP$5/$AP$6)</f>
        <v/>
      </c>
      <c r="AY78" s="23">
        <f>-$AP$3*EXP(-AW78*$AP$5/$AP$6)</f>
        <v/>
      </c>
      <c r="AZ78" s="5" t="n"/>
      <c r="BA78" s="5" t="n"/>
      <c r="BB78" s="5" t="n"/>
      <c r="BC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29">
        <f>I78+$H$2</f>
        <v/>
      </c>
      <c r="J79" s="26">
        <f>($B$3/$B$5)*EXP(-I79*$B$5/$B$6)</f>
        <v/>
      </c>
      <c r="K79" s="26">
        <f>-$B$3*EXP(-I79*$B$5/$B$6)</f>
        <v/>
      </c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29">
        <f>AB78+$AA$2</f>
        <v/>
      </c>
      <c r="AC79" s="26">
        <f>($U$3/$U$5)*EXP(-AB79*$U$5/$U$6)</f>
        <v/>
      </c>
      <c r="AD79" s="26">
        <f>-$U$3*EXP(-AB79*$U$5/$U$6)</f>
        <v/>
      </c>
      <c r="AE79" s="5" t="n"/>
      <c r="AF79" s="5" t="n"/>
      <c r="AG79" s="5" t="n"/>
      <c r="AH79" s="5" t="n"/>
      <c r="AI79" s="5" t="n"/>
      <c r="AJ79" s="5" t="n"/>
      <c r="AK79" s="5" t="n"/>
      <c r="AL79" s="5" t="n"/>
      <c r="AM79" s="5" t="n"/>
      <c r="AN79" s="5" t="n"/>
      <c r="AO79" s="5" t="n"/>
      <c r="AP79" s="5" t="n"/>
      <c r="AQ79" s="5" t="n"/>
      <c r="AR79" s="5" t="n"/>
      <c r="AS79" s="5" t="n"/>
      <c r="AT79" s="5" t="n"/>
      <c r="AU79" s="5" t="n"/>
      <c r="AV79" s="5" t="n"/>
      <c r="AW79" s="29">
        <f>AW78+$AV$2</f>
        <v/>
      </c>
      <c r="AX79" s="26">
        <f>($AP$3/$AP$5)*EXP(-AW79*$AP$5/$AP$6)</f>
        <v/>
      </c>
      <c r="AY79" s="26">
        <f>-$AP$3*EXP(-AW79*$AP$5/$AP$6)</f>
        <v/>
      </c>
      <c r="AZ79" s="5" t="n"/>
      <c r="BA79" s="5" t="n"/>
      <c r="BB79" s="5" t="n"/>
      <c r="BC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28">
        <f>I79+$H$2</f>
        <v/>
      </c>
      <c r="J80" s="23">
        <f>($B$3/$B$5)*EXP(-I80*$B$5/$B$6)</f>
        <v/>
      </c>
      <c r="K80" s="23">
        <f>-$B$3*EXP(-I80*$B$5/$B$6)</f>
        <v/>
      </c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28">
        <f>AB79+$AA$2</f>
        <v/>
      </c>
      <c r="AC80" s="23">
        <f>($U$3/$U$5)*EXP(-AB80*$U$5/$U$6)</f>
        <v/>
      </c>
      <c r="AD80" s="23">
        <f>-$U$3*EXP(-AB80*$U$5/$U$6)</f>
        <v/>
      </c>
      <c r="AE80" s="5" t="n"/>
      <c r="AF80" s="5" t="n"/>
      <c r="AG80" s="5" t="n"/>
      <c r="AH80" s="5" t="n"/>
      <c r="AI80" s="5" t="n"/>
      <c r="AJ80" s="5" t="n"/>
      <c r="AK80" s="5" t="n"/>
      <c r="AL80" s="5" t="n"/>
      <c r="AM80" s="5" t="n"/>
      <c r="AN80" s="5" t="n"/>
      <c r="AO80" s="5" t="n"/>
      <c r="AP80" s="5" t="n"/>
      <c r="AQ80" s="5" t="n"/>
      <c r="AR80" s="5" t="n"/>
      <c r="AS80" s="5" t="n"/>
      <c r="AT80" s="5" t="n"/>
      <c r="AU80" s="5" t="n"/>
      <c r="AV80" s="5" t="n"/>
      <c r="AW80" s="28">
        <f>AW79+$AV$2</f>
        <v/>
      </c>
      <c r="AX80" s="23">
        <f>($AP$3/$AP$5)*EXP(-AW80*$AP$5/$AP$6)</f>
        <v/>
      </c>
      <c r="AY80" s="23">
        <f>-$AP$3*EXP(-AW80*$AP$5/$AP$6)</f>
        <v/>
      </c>
      <c r="AZ80" s="5" t="n"/>
      <c r="BA80" s="5" t="n"/>
      <c r="BB80" s="5" t="n"/>
      <c r="BC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29">
        <f>I80+$H$2</f>
        <v/>
      </c>
      <c r="J81" s="26">
        <f>($B$3/$B$5)*EXP(-I81*$B$5/$B$6)</f>
        <v/>
      </c>
      <c r="K81" s="26">
        <f>-$B$3*EXP(-I81*$B$5/$B$6)</f>
        <v/>
      </c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29">
        <f>AB80+$AA$2</f>
        <v/>
      </c>
      <c r="AC81" s="26">
        <f>($U$3/$U$5)*EXP(-AB81*$U$5/$U$6)</f>
        <v/>
      </c>
      <c r="AD81" s="26">
        <f>-$U$3*EXP(-AB81*$U$5/$U$6)</f>
        <v/>
      </c>
      <c r="AE81" s="5" t="n"/>
      <c r="AF81" s="5" t="n"/>
      <c r="AG81" s="5" t="n"/>
      <c r="AH81" s="5" t="n"/>
      <c r="AI81" s="5" t="n"/>
      <c r="AJ81" s="5" t="n"/>
      <c r="AK81" s="5" t="n"/>
      <c r="AL81" s="5" t="n"/>
      <c r="AM81" s="5" t="n"/>
      <c r="AN81" s="5" t="n"/>
      <c r="AO81" s="5" t="n"/>
      <c r="AP81" s="5" t="n"/>
      <c r="AQ81" s="5" t="n"/>
      <c r="AR81" s="5" t="n"/>
      <c r="AS81" s="5" t="n"/>
      <c r="AT81" s="5" t="n"/>
      <c r="AU81" s="5" t="n"/>
      <c r="AV81" s="5" t="n"/>
      <c r="AW81" s="29">
        <f>AW80+$AV$2</f>
        <v/>
      </c>
      <c r="AX81" s="26">
        <f>($AP$3/$AP$5)*EXP(-AW81*$AP$5/$AP$6)</f>
        <v/>
      </c>
      <c r="AY81" s="26">
        <f>-$AP$3*EXP(-AW81*$AP$5/$AP$6)</f>
        <v/>
      </c>
      <c r="AZ81" s="5" t="n"/>
      <c r="BA81" s="5" t="n"/>
      <c r="BB81" s="5" t="n"/>
      <c r="BC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28">
        <f>I81+$H$2</f>
        <v/>
      </c>
      <c r="J82" s="23">
        <f>($B$3/$B$5)*EXP(-I82*$B$5/$B$6)</f>
        <v/>
      </c>
      <c r="K82" s="23">
        <f>-$B$3*EXP(-I82*$B$5/$B$6)</f>
        <v/>
      </c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28">
        <f>AB81+$AA$2</f>
        <v/>
      </c>
      <c r="AC82" s="23">
        <f>($U$3/$U$5)*EXP(-AB82*$U$5/$U$6)</f>
        <v/>
      </c>
      <c r="AD82" s="23">
        <f>-$U$3*EXP(-AB82*$U$5/$U$6)</f>
        <v/>
      </c>
      <c r="AE82" s="5" t="n"/>
      <c r="AF82" s="5" t="n"/>
      <c r="AG82" s="5" t="n"/>
      <c r="AH82" s="5" t="n"/>
      <c r="AI82" s="5" t="n"/>
      <c r="AJ82" s="5" t="n"/>
      <c r="AK82" s="5" t="n"/>
      <c r="AL82" s="5" t="n"/>
      <c r="AM82" s="5" t="n"/>
      <c r="AN82" s="5" t="n"/>
      <c r="AO82" s="5" t="n"/>
      <c r="AP82" s="5" t="n"/>
      <c r="AQ82" s="5" t="n"/>
      <c r="AR82" s="5" t="n"/>
      <c r="AS82" s="5" t="n"/>
      <c r="AT82" s="5" t="n"/>
      <c r="AU82" s="5" t="n"/>
      <c r="AV82" s="5" t="n"/>
      <c r="AW82" s="28">
        <f>AW81+$AV$2</f>
        <v/>
      </c>
      <c r="AX82" s="23">
        <f>($AP$3/$AP$5)*EXP(-AW82*$AP$5/$AP$6)</f>
        <v/>
      </c>
      <c r="AY82" s="23">
        <f>-$AP$3*EXP(-AW82*$AP$5/$AP$6)</f>
        <v/>
      </c>
      <c r="AZ82" s="5" t="n"/>
      <c r="BA82" s="5" t="n"/>
      <c r="BB82" s="5" t="n"/>
      <c r="BC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29">
        <f>I82+$H$2</f>
        <v/>
      </c>
      <c r="J83" s="26">
        <f>($B$3/$B$5)*EXP(-I83*$B$5/$B$6)</f>
        <v/>
      </c>
      <c r="K83" s="26">
        <f>-$B$3*EXP(-I83*$B$5/$B$6)</f>
        <v/>
      </c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29">
        <f>AB82+$AA$2</f>
        <v/>
      </c>
      <c r="AC83" s="26">
        <f>($U$3/$U$5)*EXP(-AB83*$U$5/$U$6)</f>
        <v/>
      </c>
      <c r="AD83" s="26">
        <f>-$U$3*EXP(-AB83*$U$5/$U$6)</f>
        <v/>
      </c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  <c r="AP83" s="5" t="n"/>
      <c r="AQ83" s="5" t="n"/>
      <c r="AR83" s="5" t="n"/>
      <c r="AS83" s="5" t="n"/>
      <c r="AT83" s="5" t="n"/>
      <c r="AU83" s="5" t="n"/>
      <c r="AV83" s="5" t="n"/>
      <c r="AW83" s="29">
        <f>AW82+$AV$2</f>
        <v/>
      </c>
      <c r="AX83" s="26">
        <f>($AP$3/$AP$5)*EXP(-AW83*$AP$5/$AP$6)</f>
        <v/>
      </c>
      <c r="AY83" s="26">
        <f>-$AP$3*EXP(-AW83*$AP$5/$AP$6)</f>
        <v/>
      </c>
      <c r="AZ83" s="5" t="n"/>
      <c r="BA83" s="5" t="n"/>
      <c r="BB83" s="5" t="n"/>
      <c r="BC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28">
        <f>I83+$H$2</f>
        <v/>
      </c>
      <c r="J84" s="23">
        <f>($B$3/$B$5)*EXP(-I84*$B$5/$B$6)</f>
        <v/>
      </c>
      <c r="K84" s="23">
        <f>-$B$3*EXP(-I84*$B$5/$B$6)</f>
        <v/>
      </c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28">
        <f>AB83+$AA$2</f>
        <v/>
      </c>
      <c r="AC84" s="23">
        <f>($U$3/$U$5)*EXP(-AB84*$U$5/$U$6)</f>
        <v/>
      </c>
      <c r="AD84" s="23">
        <f>-$U$3*EXP(-AB84*$U$5/$U$6)</f>
        <v/>
      </c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  <c r="AP84" s="5" t="n"/>
      <c r="AQ84" s="5" t="n"/>
      <c r="AR84" s="5" t="n"/>
      <c r="AS84" s="5" t="n"/>
      <c r="AT84" s="5" t="n"/>
      <c r="AU84" s="5" t="n"/>
      <c r="AV84" s="5" t="n"/>
      <c r="AW84" s="28">
        <f>AW83+$AV$2</f>
        <v/>
      </c>
      <c r="AX84" s="23">
        <f>($AP$3/$AP$5)*EXP(-AW84*$AP$5/$AP$6)</f>
        <v/>
      </c>
      <c r="AY84" s="23">
        <f>-$AP$3*EXP(-AW84*$AP$5/$AP$6)</f>
        <v/>
      </c>
      <c r="AZ84" s="5" t="n"/>
      <c r="BA84" s="5" t="n"/>
      <c r="BB84" s="5" t="n"/>
      <c r="BC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29">
        <f>I84+$H$2</f>
        <v/>
      </c>
      <c r="J85" s="26">
        <f>($B$3/$B$5)*EXP(-I85*$B$5/$B$6)</f>
        <v/>
      </c>
      <c r="K85" s="26">
        <f>-$B$3*EXP(-I85*$B$5/$B$6)</f>
        <v/>
      </c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29">
        <f>AB84+$AA$2</f>
        <v/>
      </c>
      <c r="AC85" s="26">
        <f>($U$3/$U$5)*EXP(-AB85*$U$5/$U$6)</f>
        <v/>
      </c>
      <c r="AD85" s="26">
        <f>-$U$3*EXP(-AB85*$U$5/$U$6)</f>
        <v/>
      </c>
      <c r="AE85" s="5" t="n"/>
      <c r="AF85" s="5" t="n"/>
      <c r="AG85" s="5" t="n"/>
      <c r="AH85" s="5" t="n"/>
      <c r="AI85" s="5" t="n"/>
      <c r="AJ85" s="5" t="n"/>
      <c r="AK85" s="5" t="n"/>
      <c r="AL85" s="5" t="n"/>
      <c r="AM85" s="5" t="n"/>
      <c r="AN85" s="5" t="n"/>
      <c r="AO85" s="5" t="n"/>
      <c r="AP85" s="5" t="n"/>
      <c r="AQ85" s="5" t="n"/>
      <c r="AR85" s="5" t="n"/>
      <c r="AS85" s="5" t="n"/>
      <c r="AT85" s="5" t="n"/>
      <c r="AU85" s="5" t="n"/>
      <c r="AV85" s="5" t="n"/>
      <c r="AW85" s="29">
        <f>AW84+$AV$2</f>
        <v/>
      </c>
      <c r="AX85" s="26">
        <f>($AP$3/$AP$5)*EXP(-AW85*$AP$5/$AP$6)</f>
        <v/>
      </c>
      <c r="AY85" s="26">
        <f>-$AP$3*EXP(-AW85*$AP$5/$AP$6)</f>
        <v/>
      </c>
      <c r="AZ85" s="5" t="n"/>
      <c r="BA85" s="5" t="n"/>
      <c r="BB85" s="5" t="n"/>
      <c r="BC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28">
        <f>I85+$H$2</f>
        <v/>
      </c>
      <c r="J86" s="23">
        <f>($B$3/$B$5)*EXP(-I86*$B$5/$B$6)</f>
        <v/>
      </c>
      <c r="K86" s="23">
        <f>-$B$3*EXP(-I86*$B$5/$B$6)</f>
        <v/>
      </c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28">
        <f>AB85+$AA$2</f>
        <v/>
      </c>
      <c r="AC86" s="23">
        <f>($U$3/$U$5)*EXP(-AB86*$U$5/$U$6)</f>
        <v/>
      </c>
      <c r="AD86" s="23">
        <f>-$U$3*EXP(-AB86*$U$5/$U$6)</f>
        <v/>
      </c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  <c r="AP86" s="5" t="n"/>
      <c r="AQ86" s="5" t="n"/>
      <c r="AR86" s="5" t="n"/>
      <c r="AS86" s="5" t="n"/>
      <c r="AT86" s="5" t="n"/>
      <c r="AU86" s="5" t="n"/>
      <c r="AV86" s="5" t="n"/>
      <c r="AW86" s="28">
        <f>AW85+$AV$2</f>
        <v/>
      </c>
      <c r="AX86" s="23">
        <f>($AP$3/$AP$5)*EXP(-AW86*$AP$5/$AP$6)</f>
        <v/>
      </c>
      <c r="AY86" s="23">
        <f>-$AP$3*EXP(-AW86*$AP$5/$AP$6)</f>
        <v/>
      </c>
      <c r="AZ86" s="5" t="n"/>
      <c r="BA86" s="5" t="n"/>
      <c r="BB86" s="5" t="n"/>
      <c r="BC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29">
        <f>I86+$H$2</f>
        <v/>
      </c>
      <c r="J87" s="26">
        <f>($B$3/$B$5)*EXP(-I87*$B$5/$B$6)</f>
        <v/>
      </c>
      <c r="K87" s="26">
        <f>-$B$3*EXP(-I87*$B$5/$B$6)</f>
        <v/>
      </c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29">
        <f>AB86+$AA$2</f>
        <v/>
      </c>
      <c r="AC87" s="26">
        <f>($U$3/$U$5)*EXP(-AB87*$U$5/$U$6)</f>
        <v/>
      </c>
      <c r="AD87" s="26">
        <f>-$U$3*EXP(-AB87*$U$5/$U$6)</f>
        <v/>
      </c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  <c r="AU87" s="5" t="n"/>
      <c r="AV87" s="5" t="n"/>
      <c r="AW87" s="29">
        <f>AW86+$AV$2</f>
        <v/>
      </c>
      <c r="AX87" s="26">
        <f>($AP$3/$AP$5)*EXP(-AW87*$AP$5/$AP$6)</f>
        <v/>
      </c>
      <c r="AY87" s="26">
        <f>-$AP$3*EXP(-AW87*$AP$5/$AP$6)</f>
        <v/>
      </c>
      <c r="AZ87" s="5" t="n"/>
      <c r="BA87" s="5" t="n"/>
      <c r="BB87" s="5" t="n"/>
      <c r="BC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28">
        <f>I87+$H$2</f>
        <v/>
      </c>
      <c r="J88" s="23">
        <f>($B$3/$B$5)*EXP(-I88*$B$5/$B$6)</f>
        <v/>
      </c>
      <c r="K88" s="23">
        <f>-$B$3*EXP(-I88*$B$5/$B$6)</f>
        <v/>
      </c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28">
        <f>AB87+$AA$2</f>
        <v/>
      </c>
      <c r="AC88" s="23">
        <f>($U$3/$U$5)*EXP(-AB88*$U$5/$U$6)</f>
        <v/>
      </c>
      <c r="AD88" s="23">
        <f>-$U$3*EXP(-AB88*$U$5/$U$6)</f>
        <v/>
      </c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  <c r="AU88" s="5" t="n"/>
      <c r="AV88" s="5" t="n"/>
      <c r="AW88" s="28">
        <f>AW87+$AV$2</f>
        <v/>
      </c>
      <c r="AX88" s="23">
        <f>($AP$3/$AP$5)*EXP(-AW88*$AP$5/$AP$6)</f>
        <v/>
      </c>
      <c r="AY88" s="23">
        <f>-$AP$3*EXP(-AW88*$AP$5/$AP$6)</f>
        <v/>
      </c>
      <c r="AZ88" s="5" t="n"/>
      <c r="BA88" s="5" t="n"/>
      <c r="BB88" s="5" t="n"/>
      <c r="BC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29">
        <f>I88+$H$2</f>
        <v/>
      </c>
      <c r="J89" s="26">
        <f>($B$3/$B$5)*EXP(-I89*$B$5/$B$6)</f>
        <v/>
      </c>
      <c r="K89" s="26">
        <f>-$B$3*EXP(-I89*$B$5/$B$6)</f>
        <v/>
      </c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29">
        <f>AB88+$AA$2</f>
        <v/>
      </c>
      <c r="AC89" s="26">
        <f>($U$3/$U$5)*EXP(-AB89*$U$5/$U$6)</f>
        <v/>
      </c>
      <c r="AD89" s="26">
        <f>-$U$3*EXP(-AB89*$U$5/$U$6)</f>
        <v/>
      </c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  <c r="AP89" s="5" t="n"/>
      <c r="AQ89" s="5" t="n"/>
      <c r="AR89" s="5" t="n"/>
      <c r="AS89" s="5" t="n"/>
      <c r="AT89" s="5" t="n"/>
      <c r="AU89" s="5" t="n"/>
      <c r="AV89" s="5" t="n"/>
      <c r="AW89" s="29">
        <f>AW88+$AV$2</f>
        <v/>
      </c>
      <c r="AX89" s="26">
        <f>($AP$3/$AP$5)*EXP(-AW89*$AP$5/$AP$6)</f>
        <v/>
      </c>
      <c r="AY89" s="26">
        <f>-$AP$3*EXP(-AW89*$AP$5/$AP$6)</f>
        <v/>
      </c>
      <c r="AZ89" s="5" t="n"/>
      <c r="BA89" s="5" t="n"/>
      <c r="BB89" s="5" t="n"/>
      <c r="BC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28">
        <f>I89+$H$2</f>
        <v/>
      </c>
      <c r="J90" s="23">
        <f>($B$3/$B$5)*EXP(-I90*$B$5/$B$6)</f>
        <v/>
      </c>
      <c r="K90" s="23">
        <f>-$B$3*EXP(-I90*$B$5/$B$6)</f>
        <v/>
      </c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28">
        <f>AB89+$AA$2</f>
        <v/>
      </c>
      <c r="AC90" s="23">
        <f>($U$3/$U$5)*EXP(-AB90*$U$5/$U$6)</f>
        <v/>
      </c>
      <c r="AD90" s="23">
        <f>-$U$3*EXP(-AB90*$U$5/$U$6)</f>
        <v/>
      </c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  <c r="AP90" s="5" t="n"/>
      <c r="AQ90" s="5" t="n"/>
      <c r="AR90" s="5" t="n"/>
      <c r="AS90" s="5" t="n"/>
      <c r="AT90" s="5" t="n"/>
      <c r="AU90" s="5" t="n"/>
      <c r="AV90" s="5" t="n"/>
      <c r="AW90" s="28">
        <f>AW89+$AV$2</f>
        <v/>
      </c>
      <c r="AX90" s="23">
        <f>($AP$3/$AP$5)*EXP(-AW90*$AP$5/$AP$6)</f>
        <v/>
      </c>
      <c r="AY90" s="23">
        <f>-$AP$3*EXP(-AW90*$AP$5/$AP$6)</f>
        <v/>
      </c>
      <c r="AZ90" s="5" t="n"/>
      <c r="BA90" s="5" t="n"/>
      <c r="BB90" s="5" t="n"/>
      <c r="BC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29">
        <f>I90+$H$2</f>
        <v/>
      </c>
      <c r="J91" s="26">
        <f>($B$3/$B$5)*EXP(-I91*$B$5/$B$6)</f>
        <v/>
      </c>
      <c r="K91" s="26">
        <f>-$B$3*EXP(-I91*$B$5/$B$6)</f>
        <v/>
      </c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29">
        <f>AB90+$AA$2</f>
        <v/>
      </c>
      <c r="AC91" s="26">
        <f>($U$3/$U$5)*EXP(-AB91*$U$5/$U$6)</f>
        <v/>
      </c>
      <c r="AD91" s="26">
        <f>-$U$3*EXP(-AB91*$U$5/$U$6)</f>
        <v/>
      </c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  <c r="AQ91" s="5" t="n"/>
      <c r="AR91" s="5" t="n"/>
      <c r="AS91" s="5" t="n"/>
      <c r="AT91" s="5" t="n"/>
      <c r="AU91" s="5" t="n"/>
      <c r="AV91" s="5" t="n"/>
      <c r="AW91" s="29">
        <f>AW90+$AV$2</f>
        <v/>
      </c>
      <c r="AX91" s="26">
        <f>($AP$3/$AP$5)*EXP(-AW91*$AP$5/$AP$6)</f>
        <v/>
      </c>
      <c r="AY91" s="26">
        <f>-$AP$3*EXP(-AW91*$AP$5/$AP$6)</f>
        <v/>
      </c>
      <c r="AZ91" s="5" t="n"/>
      <c r="BA91" s="5" t="n"/>
      <c r="BB91" s="5" t="n"/>
      <c r="BC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28">
        <f>I91+$H$2</f>
        <v/>
      </c>
      <c r="J92" s="23">
        <f>($B$3/$B$5)*EXP(-I92*$B$5/$B$6)</f>
        <v/>
      </c>
      <c r="K92" s="23">
        <f>-$B$3*EXP(-I92*$B$5/$B$6)</f>
        <v/>
      </c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28">
        <f>AB91+$AA$2</f>
        <v/>
      </c>
      <c r="AC92" s="23">
        <f>($U$3/$U$5)*EXP(-AB92*$U$5/$U$6)</f>
        <v/>
      </c>
      <c r="AD92" s="23">
        <f>-$U$3*EXP(-AB92*$U$5/$U$6)</f>
        <v/>
      </c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  <c r="AP92" s="5" t="n"/>
      <c r="AQ92" s="5" t="n"/>
      <c r="AR92" s="5" t="n"/>
      <c r="AS92" s="5" t="n"/>
      <c r="AT92" s="5" t="n"/>
      <c r="AU92" s="5" t="n"/>
      <c r="AV92" s="5" t="n"/>
      <c r="AW92" s="28">
        <f>AW91+$AV$2</f>
        <v/>
      </c>
      <c r="AX92" s="23">
        <f>($AP$3/$AP$5)*EXP(-AW92*$AP$5/$AP$6)</f>
        <v/>
      </c>
      <c r="AY92" s="23">
        <f>-$AP$3*EXP(-AW92*$AP$5/$AP$6)</f>
        <v/>
      </c>
      <c r="AZ92" s="5" t="n"/>
      <c r="BA92" s="5" t="n"/>
      <c r="BB92" s="5" t="n"/>
      <c r="BC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29">
        <f>I92+$H$2</f>
        <v/>
      </c>
      <c r="J93" s="26">
        <f>($B$3/$B$5)*EXP(-I93*$B$5/$B$6)</f>
        <v/>
      </c>
      <c r="K93" s="26">
        <f>-$B$3*EXP(-I93*$B$5/$B$6)</f>
        <v/>
      </c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29">
        <f>AB92+$AA$2</f>
        <v/>
      </c>
      <c r="AC93" s="26">
        <f>($U$3/$U$5)*EXP(-AB93*$U$5/$U$6)</f>
        <v/>
      </c>
      <c r="AD93" s="26">
        <f>-$U$3*EXP(-AB93*$U$5/$U$6)</f>
        <v/>
      </c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  <c r="AQ93" s="5" t="n"/>
      <c r="AR93" s="5" t="n"/>
      <c r="AS93" s="5" t="n"/>
      <c r="AT93" s="5" t="n"/>
      <c r="AU93" s="5" t="n"/>
      <c r="AV93" s="5" t="n"/>
      <c r="AW93" s="29">
        <f>AW92+$AV$2</f>
        <v/>
      </c>
      <c r="AX93" s="26">
        <f>($AP$3/$AP$5)*EXP(-AW93*$AP$5/$AP$6)</f>
        <v/>
      </c>
      <c r="AY93" s="26">
        <f>-$AP$3*EXP(-AW93*$AP$5/$AP$6)</f>
        <v/>
      </c>
      <c r="AZ93" s="5" t="n"/>
      <c r="BA93" s="5" t="n"/>
      <c r="BB93" s="5" t="n"/>
      <c r="BC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28">
        <f>I93+$H$2</f>
        <v/>
      </c>
      <c r="J94" s="23">
        <f>($B$3/$B$5)*EXP(-I94*$B$5/$B$6)</f>
        <v/>
      </c>
      <c r="K94" s="23">
        <f>-$B$3*EXP(-I94*$B$5/$B$6)</f>
        <v/>
      </c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28">
        <f>AB93+$AA$2</f>
        <v/>
      </c>
      <c r="AC94" s="23">
        <f>($U$3/$U$5)*EXP(-AB94*$U$5/$U$6)</f>
        <v/>
      </c>
      <c r="AD94" s="23">
        <f>-$U$3*EXP(-AB94*$U$5/$U$6)</f>
        <v/>
      </c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  <c r="AQ94" s="5" t="n"/>
      <c r="AR94" s="5" t="n"/>
      <c r="AS94" s="5" t="n"/>
      <c r="AT94" s="5" t="n"/>
      <c r="AU94" s="5" t="n"/>
      <c r="AV94" s="5" t="n"/>
      <c r="AW94" s="28">
        <f>AW93+$AV$2</f>
        <v/>
      </c>
      <c r="AX94" s="23">
        <f>($AP$3/$AP$5)*EXP(-AW94*$AP$5/$AP$6)</f>
        <v/>
      </c>
      <c r="AY94" s="23">
        <f>-$AP$3*EXP(-AW94*$AP$5/$AP$6)</f>
        <v/>
      </c>
      <c r="AZ94" s="5" t="n"/>
      <c r="BA94" s="5" t="n"/>
      <c r="BB94" s="5" t="n"/>
      <c r="BC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29">
        <f>I94+$H$2</f>
        <v/>
      </c>
      <c r="J95" s="26">
        <f>($B$3/$B$5)*EXP(-I95*$B$5/$B$6)</f>
        <v/>
      </c>
      <c r="K95" s="26">
        <f>-$B$3*EXP(-I95*$B$5/$B$6)</f>
        <v/>
      </c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29">
        <f>AB94+$AA$2</f>
        <v/>
      </c>
      <c r="AC95" s="26">
        <f>($U$3/$U$5)*EXP(-AB95*$U$5/$U$6)</f>
        <v/>
      </c>
      <c r="AD95" s="26">
        <f>-$U$3*EXP(-AB95*$U$5/$U$6)</f>
        <v/>
      </c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  <c r="AP95" s="5" t="n"/>
      <c r="AQ95" s="5" t="n"/>
      <c r="AR95" s="5" t="n"/>
      <c r="AS95" s="5" t="n"/>
      <c r="AT95" s="5" t="n"/>
      <c r="AU95" s="5" t="n"/>
      <c r="AV95" s="5" t="n"/>
      <c r="AW95" s="29">
        <f>AW94+$AV$2</f>
        <v/>
      </c>
      <c r="AX95" s="26">
        <f>($AP$3/$AP$5)*EXP(-AW95*$AP$5/$AP$6)</f>
        <v/>
      </c>
      <c r="AY95" s="26">
        <f>-$AP$3*EXP(-AW95*$AP$5/$AP$6)</f>
        <v/>
      </c>
      <c r="AZ95" s="5" t="n"/>
      <c r="BA95" s="5" t="n"/>
      <c r="BB95" s="5" t="n"/>
      <c r="BC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28">
        <f>I95+$H$2</f>
        <v/>
      </c>
      <c r="J96" s="23">
        <f>($B$3/$B$5)*EXP(-I96*$B$5/$B$6)</f>
        <v/>
      </c>
      <c r="K96" s="23">
        <f>-$B$3*EXP(-I96*$B$5/$B$6)</f>
        <v/>
      </c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28">
        <f>AB95+$AA$2</f>
        <v/>
      </c>
      <c r="AC96" s="23">
        <f>($U$3/$U$5)*EXP(-AB96*$U$5/$U$6)</f>
        <v/>
      </c>
      <c r="AD96" s="23">
        <f>-$U$3*EXP(-AB96*$U$5/$U$6)</f>
        <v/>
      </c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  <c r="AQ96" s="5" t="n"/>
      <c r="AR96" s="5" t="n"/>
      <c r="AS96" s="5" t="n"/>
      <c r="AT96" s="5" t="n"/>
      <c r="AU96" s="5" t="n"/>
      <c r="AV96" s="5" t="n"/>
      <c r="AW96" s="28">
        <f>AW95+$AV$2</f>
        <v/>
      </c>
      <c r="AX96" s="23">
        <f>($AP$3/$AP$5)*EXP(-AW96*$AP$5/$AP$6)</f>
        <v/>
      </c>
      <c r="AY96" s="23">
        <f>-$AP$3*EXP(-AW96*$AP$5/$AP$6)</f>
        <v/>
      </c>
      <c r="AZ96" s="5" t="n"/>
      <c r="BA96" s="5" t="n"/>
      <c r="BB96" s="5" t="n"/>
      <c r="BC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29">
        <f>I96+$H$2</f>
        <v/>
      </c>
      <c r="J97" s="26">
        <f>($B$3/$B$5)*EXP(-I97*$B$5/$B$6)</f>
        <v/>
      </c>
      <c r="K97" s="26">
        <f>-$B$3*EXP(-I97*$B$5/$B$6)</f>
        <v/>
      </c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29">
        <f>AB96+$AA$2</f>
        <v/>
      </c>
      <c r="AC97" s="26">
        <f>($U$3/$U$5)*EXP(-AB97*$U$5/$U$6)</f>
        <v/>
      </c>
      <c r="AD97" s="26">
        <f>-$U$3*EXP(-AB97*$U$5/$U$6)</f>
        <v/>
      </c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  <c r="AQ97" s="5" t="n"/>
      <c r="AR97" s="5" t="n"/>
      <c r="AS97" s="5" t="n"/>
      <c r="AT97" s="5" t="n"/>
      <c r="AU97" s="5" t="n"/>
      <c r="AV97" s="5" t="n"/>
      <c r="AW97" s="29">
        <f>AW96+$AV$2</f>
        <v/>
      </c>
      <c r="AX97" s="26">
        <f>($AP$3/$AP$5)*EXP(-AW97*$AP$5/$AP$6)</f>
        <v/>
      </c>
      <c r="AY97" s="26">
        <f>-$AP$3*EXP(-AW97*$AP$5/$AP$6)</f>
        <v/>
      </c>
      <c r="AZ97" s="5" t="n"/>
      <c r="BA97" s="5" t="n"/>
      <c r="BB97" s="5" t="n"/>
      <c r="BC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28">
        <f>I97+$H$2</f>
        <v/>
      </c>
      <c r="J98" s="23">
        <f>($B$3/$B$5)*EXP(-I98*$B$5/$B$6)</f>
        <v/>
      </c>
      <c r="K98" s="23">
        <f>-$B$3*EXP(-I98*$B$5/$B$6)</f>
        <v/>
      </c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28">
        <f>AB97+$AA$2</f>
        <v/>
      </c>
      <c r="AC98" s="23">
        <f>($U$3/$U$5)*EXP(-AB98*$U$5/$U$6)</f>
        <v/>
      </c>
      <c r="AD98" s="23">
        <f>-$U$3*EXP(-AB98*$U$5/$U$6)</f>
        <v/>
      </c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  <c r="AP98" s="5" t="n"/>
      <c r="AQ98" s="5" t="n"/>
      <c r="AR98" s="5" t="n"/>
      <c r="AS98" s="5" t="n"/>
      <c r="AT98" s="5" t="n"/>
      <c r="AU98" s="5" t="n"/>
      <c r="AV98" s="5" t="n"/>
      <c r="AW98" s="28">
        <f>AW97+$AV$2</f>
        <v/>
      </c>
      <c r="AX98" s="23">
        <f>($AP$3/$AP$5)*EXP(-AW98*$AP$5/$AP$6)</f>
        <v/>
      </c>
      <c r="AY98" s="23">
        <f>-$AP$3*EXP(-AW98*$AP$5/$AP$6)</f>
        <v/>
      </c>
      <c r="AZ98" s="5" t="n"/>
      <c r="BA98" s="5" t="n"/>
      <c r="BB98" s="5" t="n"/>
      <c r="BC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29">
        <f>I98+$H$2</f>
        <v/>
      </c>
      <c r="J99" s="26">
        <f>($B$3/$B$5)*EXP(-I99*$B$5/$B$6)</f>
        <v/>
      </c>
      <c r="K99" s="26">
        <f>-$B$3*EXP(-I99*$B$5/$B$6)</f>
        <v/>
      </c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29">
        <f>AB98+$AA$2</f>
        <v/>
      </c>
      <c r="AC99" s="26">
        <f>($U$3/$U$5)*EXP(-AB99*$U$5/$U$6)</f>
        <v/>
      </c>
      <c r="AD99" s="26">
        <f>-$U$3*EXP(-AB99*$U$5/$U$6)</f>
        <v/>
      </c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  <c r="AP99" s="5" t="n"/>
      <c r="AQ99" s="5" t="n"/>
      <c r="AR99" s="5" t="n"/>
      <c r="AS99" s="5" t="n"/>
      <c r="AT99" s="5" t="n"/>
      <c r="AU99" s="5" t="n"/>
      <c r="AV99" s="5" t="n"/>
      <c r="AW99" s="29">
        <f>AW98+$AV$2</f>
        <v/>
      </c>
      <c r="AX99" s="26">
        <f>($AP$3/$AP$5)*EXP(-AW99*$AP$5/$AP$6)</f>
        <v/>
      </c>
      <c r="AY99" s="26">
        <f>-$AP$3*EXP(-AW99*$AP$5/$AP$6)</f>
        <v/>
      </c>
      <c r="AZ99" s="5" t="n"/>
      <c r="BA99" s="5" t="n"/>
      <c r="BB99" s="5" t="n"/>
      <c r="BC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28">
        <f>I99+$H$2</f>
        <v/>
      </c>
      <c r="J100" s="23">
        <f>($B$3/$B$5)*EXP(-I100*$B$5/$B$6)</f>
        <v/>
      </c>
      <c r="K100" s="23">
        <f>-$B$3*EXP(-I100*$B$5/$B$6)</f>
        <v/>
      </c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28">
        <f>AB99+$AA$2</f>
        <v/>
      </c>
      <c r="AC100" s="23">
        <f>($U$3/$U$5)*EXP(-AB100*$U$5/$U$6)</f>
        <v/>
      </c>
      <c r="AD100" s="23">
        <f>-$U$3*EXP(-AB100*$U$5/$U$6)</f>
        <v/>
      </c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  <c r="AP100" s="5" t="n"/>
      <c r="AQ100" s="5" t="n"/>
      <c r="AR100" s="5" t="n"/>
      <c r="AS100" s="5" t="n"/>
      <c r="AT100" s="5" t="n"/>
      <c r="AU100" s="5" t="n"/>
      <c r="AV100" s="5" t="n"/>
      <c r="AW100" s="28">
        <f>AW99+$AV$2</f>
        <v/>
      </c>
      <c r="AX100" s="23">
        <f>($AP$3/$AP$5)*EXP(-AW100*$AP$5/$AP$6)</f>
        <v/>
      </c>
      <c r="AY100" s="23">
        <f>-$AP$3*EXP(-AW100*$AP$5/$AP$6)</f>
        <v/>
      </c>
      <c r="AZ100" s="5" t="n"/>
      <c r="BA100" s="5" t="n"/>
      <c r="BB100" s="5" t="n"/>
      <c r="BC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29">
        <f>I100+$H$2</f>
        <v/>
      </c>
      <c r="J101" s="26">
        <f>($B$3/$B$5)*EXP(-I101*$B$5/$B$6)</f>
        <v/>
      </c>
      <c r="K101" s="26">
        <f>-$B$3*EXP(-I101*$B$5/$B$6)</f>
        <v/>
      </c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29">
        <f>AB100+$AA$2</f>
        <v/>
      </c>
      <c r="AC101" s="26">
        <f>($U$3/$U$5)*EXP(-AB101*$U$5/$U$6)</f>
        <v/>
      </c>
      <c r="AD101" s="26">
        <f>-$U$3*EXP(-AB101*$U$5/$U$6)</f>
        <v/>
      </c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  <c r="AP101" s="5" t="n"/>
      <c r="AQ101" s="5" t="n"/>
      <c r="AR101" s="5" t="n"/>
      <c r="AS101" s="5" t="n"/>
      <c r="AT101" s="5" t="n"/>
      <c r="AU101" s="5" t="n"/>
      <c r="AV101" s="5" t="n"/>
      <c r="AW101" s="29">
        <f>AW100+$AV$2</f>
        <v/>
      </c>
      <c r="AX101" s="26">
        <f>($AP$3/$AP$5)*EXP(-AW101*$AP$5/$AP$6)</f>
        <v/>
      </c>
      <c r="AY101" s="26">
        <f>-$AP$3*EXP(-AW101*$AP$5/$AP$6)</f>
        <v/>
      </c>
      <c r="AZ101" s="5" t="n"/>
      <c r="BA101" s="5" t="n"/>
      <c r="BB101" s="5" t="n"/>
      <c r="BC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28">
        <f>I101+$H$2</f>
        <v/>
      </c>
      <c r="J102" s="23">
        <f>($B$3/$B$5)*EXP(-I102*$B$5/$B$6)</f>
        <v/>
      </c>
      <c r="K102" s="23">
        <f>-$B$3*EXP(-I102*$B$5/$B$6)</f>
        <v/>
      </c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28">
        <f>AB101+$AA$2</f>
        <v/>
      </c>
      <c r="AC102" s="23">
        <f>($U$3/$U$5)*EXP(-AB102*$U$5/$U$6)</f>
        <v/>
      </c>
      <c r="AD102" s="23">
        <f>-$U$3*EXP(-AB102*$U$5/$U$6)</f>
        <v/>
      </c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  <c r="AP102" s="5" t="n"/>
      <c r="AQ102" s="5" t="n"/>
      <c r="AR102" s="5" t="n"/>
      <c r="AS102" s="5" t="n"/>
      <c r="AT102" s="5" t="n"/>
      <c r="AU102" s="5" t="n"/>
      <c r="AV102" s="5" t="n"/>
      <c r="AW102" s="28">
        <f>AW101+$AV$2</f>
        <v/>
      </c>
      <c r="AX102" s="23">
        <f>($AP$3/$AP$5)*EXP(-AW102*$AP$5/$AP$6)</f>
        <v/>
      </c>
      <c r="AY102" s="23">
        <f>-$AP$3*EXP(-AW102*$AP$5/$AP$6)</f>
        <v/>
      </c>
      <c r="AZ102" s="5" t="n"/>
      <c r="BA102" s="5" t="n"/>
      <c r="BB102" s="5" t="n"/>
      <c r="BC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29">
        <f>I102+$H$2</f>
        <v/>
      </c>
      <c r="J103" s="26">
        <f>($B$3/$B$5)*EXP(-I103*$B$5/$B$6)</f>
        <v/>
      </c>
      <c r="K103" s="26">
        <f>-$B$3*EXP(-I103*$B$5/$B$6)</f>
        <v/>
      </c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29">
        <f>AB102+$AA$2</f>
        <v/>
      </c>
      <c r="AC103" s="26">
        <f>($U$3/$U$5)*EXP(-AB103*$U$5/$U$6)</f>
        <v/>
      </c>
      <c r="AD103" s="26">
        <f>-$U$3*EXP(-AB103*$U$5/$U$6)</f>
        <v/>
      </c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  <c r="AP103" s="5" t="n"/>
      <c r="AQ103" s="5" t="n"/>
      <c r="AR103" s="5" t="n"/>
      <c r="AS103" s="5" t="n"/>
      <c r="AT103" s="5" t="n"/>
      <c r="AU103" s="5" t="n"/>
      <c r="AV103" s="5" t="n"/>
      <c r="AW103" s="29">
        <f>AW102+$AV$2</f>
        <v/>
      </c>
      <c r="AX103" s="26">
        <f>($AP$3/$AP$5)*EXP(-AW103*$AP$5/$AP$6)</f>
        <v/>
      </c>
      <c r="AY103" s="26">
        <f>-$AP$3*EXP(-AW103*$AP$5/$AP$6)</f>
        <v/>
      </c>
      <c r="AZ103" s="5" t="n"/>
      <c r="BA103" s="5" t="n"/>
      <c r="BB103" s="5" t="n"/>
      <c r="BC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28">
        <f>I103+$H$2</f>
        <v/>
      </c>
      <c r="J104" s="23">
        <f>($B$3/$B$5)*EXP(-I104*$B$5/$B$6)</f>
        <v/>
      </c>
      <c r="K104" s="23">
        <f>-$B$3*EXP(-I104*$B$5/$B$6)</f>
        <v/>
      </c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28">
        <f>AB103+$AA$2</f>
        <v/>
      </c>
      <c r="AC104" s="23">
        <f>($U$3/$U$5)*EXP(-AB104*$U$5/$U$6)</f>
        <v/>
      </c>
      <c r="AD104" s="23">
        <f>-$U$3*EXP(-AB104*$U$5/$U$6)</f>
        <v/>
      </c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  <c r="AP104" s="5" t="n"/>
      <c r="AQ104" s="5" t="n"/>
      <c r="AR104" s="5" t="n"/>
      <c r="AS104" s="5" t="n"/>
      <c r="AT104" s="5" t="n"/>
      <c r="AU104" s="5" t="n"/>
      <c r="AV104" s="5" t="n"/>
      <c r="AW104" s="28">
        <f>AW103+$AV$2</f>
        <v/>
      </c>
      <c r="AX104" s="23">
        <f>($AP$3/$AP$5)*EXP(-AW104*$AP$5/$AP$6)</f>
        <v/>
      </c>
      <c r="AY104" s="23">
        <f>-$AP$3*EXP(-AW104*$AP$5/$AP$6)</f>
        <v/>
      </c>
      <c r="AZ104" s="5" t="n"/>
      <c r="BA104" s="5" t="n"/>
      <c r="BB104" s="5" t="n"/>
      <c r="BC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29">
        <f>I104+$H$2</f>
        <v/>
      </c>
      <c r="J105" s="26">
        <f>($B$3/$B$5)*EXP(-I105*$B$5/$B$6)</f>
        <v/>
      </c>
      <c r="K105" s="26">
        <f>-$B$3*EXP(-I105*$B$5/$B$6)</f>
        <v/>
      </c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29">
        <f>AB104+$AA$2</f>
        <v/>
      </c>
      <c r="AC105" s="26">
        <f>($U$3/$U$5)*EXP(-AB105*$U$5/$U$6)</f>
        <v/>
      </c>
      <c r="AD105" s="26">
        <f>-$U$3*EXP(-AB105*$U$5/$U$6)</f>
        <v/>
      </c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  <c r="AQ105" s="5" t="n"/>
      <c r="AR105" s="5" t="n"/>
      <c r="AS105" s="5" t="n"/>
      <c r="AT105" s="5" t="n"/>
      <c r="AU105" s="5" t="n"/>
      <c r="AV105" s="5" t="n"/>
      <c r="AW105" s="29">
        <f>AW104+$AV$2</f>
        <v/>
      </c>
      <c r="AX105" s="26">
        <f>($AP$3/$AP$5)*EXP(-AW105*$AP$5/$AP$6)</f>
        <v/>
      </c>
      <c r="AY105" s="26">
        <f>-$AP$3*EXP(-AW105*$AP$5/$AP$6)</f>
        <v/>
      </c>
      <c r="AZ105" s="5" t="n"/>
      <c r="BA105" s="5" t="n"/>
      <c r="BB105" s="5" t="n"/>
      <c r="BC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28">
        <f>I105+$H$2</f>
        <v/>
      </c>
      <c r="J106" s="23">
        <f>($B$3/$B$5)*EXP(-I106*$B$5/$B$6)</f>
        <v/>
      </c>
      <c r="K106" s="23">
        <f>-$B$3*EXP(-I106*$B$5/$B$6)</f>
        <v/>
      </c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28">
        <f>AB105+$AA$2</f>
        <v/>
      </c>
      <c r="AC106" s="23">
        <f>($U$3/$U$5)*EXP(-AB106*$U$5/$U$6)</f>
        <v/>
      </c>
      <c r="AD106" s="23">
        <f>-$U$3*EXP(-AB106*$U$5/$U$6)</f>
        <v/>
      </c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  <c r="AP106" s="5" t="n"/>
      <c r="AQ106" s="5" t="n"/>
      <c r="AR106" s="5" t="n"/>
      <c r="AS106" s="5" t="n"/>
      <c r="AT106" s="5" t="n"/>
      <c r="AU106" s="5" t="n"/>
      <c r="AV106" s="5" t="n"/>
      <c r="AW106" s="28">
        <f>AW105+$AV$2</f>
        <v/>
      </c>
      <c r="AX106" s="23">
        <f>($AP$3/$AP$5)*EXP(-AW106*$AP$5/$AP$6)</f>
        <v/>
      </c>
      <c r="AY106" s="23">
        <f>-$AP$3*EXP(-AW106*$AP$5/$AP$6)</f>
        <v/>
      </c>
      <c r="AZ106" s="5" t="n"/>
      <c r="BA106" s="5" t="n"/>
      <c r="BB106" s="5" t="n"/>
      <c r="BC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29">
        <f>I106+$H$2</f>
        <v/>
      </c>
      <c r="J107" s="26">
        <f>($B$3/$B$5)*EXP(-I107*$B$5/$B$6)</f>
        <v/>
      </c>
      <c r="K107" s="26">
        <f>-$B$3*EXP(-I107*$B$5/$B$6)</f>
        <v/>
      </c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29">
        <f>AB106+$AA$2</f>
        <v/>
      </c>
      <c r="AC107" s="26">
        <f>($U$3/$U$5)*EXP(-AB107*$U$5/$U$6)</f>
        <v/>
      </c>
      <c r="AD107" s="26">
        <f>-$U$3*EXP(-AB107*$U$5/$U$6)</f>
        <v/>
      </c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  <c r="AP107" s="5" t="n"/>
      <c r="AQ107" s="5" t="n"/>
      <c r="AR107" s="5" t="n"/>
      <c r="AS107" s="5" t="n"/>
      <c r="AT107" s="5" t="n"/>
      <c r="AU107" s="5" t="n"/>
      <c r="AV107" s="5" t="n"/>
      <c r="AW107" s="29">
        <f>AW106+$AV$2</f>
        <v/>
      </c>
      <c r="AX107" s="26">
        <f>($AP$3/$AP$5)*EXP(-AW107*$AP$5/$AP$6)</f>
        <v/>
      </c>
      <c r="AY107" s="26">
        <f>-$AP$3*EXP(-AW107*$AP$5/$AP$6)</f>
        <v/>
      </c>
      <c r="AZ107" s="5" t="n"/>
      <c r="BA107" s="5" t="n"/>
      <c r="BB107" s="5" t="n"/>
      <c r="BC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28">
        <f>I107+$H$2</f>
        <v/>
      </c>
      <c r="J108" s="23">
        <f>($B$3/$B$5)*EXP(-I108*$B$5/$B$6)</f>
        <v/>
      </c>
      <c r="K108" s="23">
        <f>-$B$3*EXP(-I108*$B$5/$B$6)</f>
        <v/>
      </c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28">
        <f>AB107+$AA$2</f>
        <v/>
      </c>
      <c r="AC108" s="23">
        <f>($U$3/$U$5)*EXP(-AB108*$U$5/$U$6)</f>
        <v/>
      </c>
      <c r="AD108" s="23">
        <f>-$U$3*EXP(-AB108*$U$5/$U$6)</f>
        <v/>
      </c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  <c r="AP108" s="5" t="n"/>
      <c r="AQ108" s="5" t="n"/>
      <c r="AR108" s="5" t="n"/>
      <c r="AS108" s="5" t="n"/>
      <c r="AT108" s="5" t="n"/>
      <c r="AU108" s="5" t="n"/>
      <c r="AV108" s="5" t="n"/>
      <c r="AW108" s="28">
        <f>AW107+$AV$2</f>
        <v/>
      </c>
      <c r="AX108" s="23">
        <f>($AP$3/$AP$5)*EXP(-AW108*$AP$5/$AP$6)</f>
        <v/>
      </c>
      <c r="AY108" s="23">
        <f>-$AP$3*EXP(-AW108*$AP$5/$AP$6)</f>
        <v/>
      </c>
      <c r="AZ108" s="5" t="n"/>
      <c r="BA108" s="5" t="n"/>
      <c r="BB108" s="5" t="n"/>
      <c r="BC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29">
        <f>I108+$H$2</f>
        <v/>
      </c>
      <c r="J109" s="26">
        <f>($B$3/$B$5)*EXP(-I109*$B$5/$B$6)</f>
        <v/>
      </c>
      <c r="K109" s="26">
        <f>-$B$3*EXP(-I109*$B$5/$B$6)</f>
        <v/>
      </c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29">
        <f>AB108+$AA$2</f>
        <v/>
      </c>
      <c r="AC109" s="26">
        <f>($U$3/$U$5)*EXP(-AB109*$U$5/$U$6)</f>
        <v/>
      </c>
      <c r="AD109" s="26">
        <f>-$U$3*EXP(-AB109*$U$5/$U$6)</f>
        <v/>
      </c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  <c r="AP109" s="5" t="n"/>
      <c r="AQ109" s="5" t="n"/>
      <c r="AR109" s="5" t="n"/>
      <c r="AS109" s="5" t="n"/>
      <c r="AT109" s="5" t="n"/>
      <c r="AU109" s="5" t="n"/>
      <c r="AV109" s="5" t="n"/>
      <c r="AW109" s="29">
        <f>AW108+$AV$2</f>
        <v/>
      </c>
      <c r="AX109" s="26">
        <f>($AP$3/$AP$5)*EXP(-AW109*$AP$5/$AP$6)</f>
        <v/>
      </c>
      <c r="AY109" s="26">
        <f>-$AP$3*EXP(-AW109*$AP$5/$AP$6)</f>
        <v/>
      </c>
      <c r="AZ109" s="5" t="n"/>
      <c r="BA109" s="5" t="n"/>
      <c r="BB109" s="5" t="n"/>
      <c r="BC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28">
        <f>I109+$H$2</f>
        <v/>
      </c>
      <c r="J110" s="23">
        <f>($B$3/$B$5)*EXP(-I110*$B$5/$B$6)</f>
        <v/>
      </c>
      <c r="K110" s="23">
        <f>-$B$3*EXP(-I110*$B$5/$B$6)</f>
        <v/>
      </c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  <c r="AB110" s="28">
        <f>AB109+$AA$2</f>
        <v/>
      </c>
      <c r="AC110" s="23">
        <f>($U$3/$U$5)*EXP(-AB110*$U$5/$U$6)</f>
        <v/>
      </c>
      <c r="AD110" s="23">
        <f>-$U$3*EXP(-AB110*$U$5/$U$6)</f>
        <v/>
      </c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  <c r="AP110" s="5" t="n"/>
      <c r="AQ110" s="5" t="n"/>
      <c r="AR110" s="5" t="n"/>
      <c r="AS110" s="5" t="n"/>
      <c r="AT110" s="5" t="n"/>
      <c r="AU110" s="5" t="n"/>
      <c r="AV110" s="5" t="n"/>
      <c r="AW110" s="28">
        <f>AW109+$AV$2</f>
        <v/>
      </c>
      <c r="AX110" s="23">
        <f>($AP$3/$AP$5)*EXP(-AW110*$AP$5/$AP$6)</f>
        <v/>
      </c>
      <c r="AY110" s="23">
        <f>-$AP$3*EXP(-AW110*$AP$5/$AP$6)</f>
        <v/>
      </c>
      <c r="AZ110" s="5" t="n"/>
      <c r="BA110" s="5" t="n"/>
      <c r="BB110" s="5" t="n"/>
      <c r="BC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29">
        <f>I110+$H$2</f>
        <v/>
      </c>
      <c r="J111" s="26">
        <f>($B$3/$B$5)*EXP(-I111*$B$5/$B$6)</f>
        <v/>
      </c>
      <c r="K111" s="26">
        <f>-$B$3*EXP(-I111*$B$5/$B$6)</f>
        <v/>
      </c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  <c r="AB111" s="29">
        <f>AB110+$AA$2</f>
        <v/>
      </c>
      <c r="AC111" s="26">
        <f>($U$3/$U$5)*EXP(-AB111*$U$5/$U$6)</f>
        <v/>
      </c>
      <c r="AD111" s="26">
        <f>-$U$3*EXP(-AB111*$U$5/$U$6)</f>
        <v/>
      </c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  <c r="AP111" s="5" t="n"/>
      <c r="AQ111" s="5" t="n"/>
      <c r="AR111" s="5" t="n"/>
      <c r="AS111" s="5" t="n"/>
      <c r="AT111" s="5" t="n"/>
      <c r="AU111" s="5" t="n"/>
      <c r="AV111" s="5" t="n"/>
      <c r="AW111" s="29">
        <f>AW110+$AV$2</f>
        <v/>
      </c>
      <c r="AX111" s="26">
        <f>($AP$3/$AP$5)*EXP(-AW111*$AP$5/$AP$6)</f>
        <v/>
      </c>
      <c r="AY111" s="26">
        <f>-$AP$3*EXP(-AW111*$AP$5/$AP$6)</f>
        <v/>
      </c>
      <c r="AZ111" s="5" t="n"/>
      <c r="BA111" s="5" t="n"/>
      <c r="BB111" s="5" t="n"/>
      <c r="BC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28">
        <f>I111+$H$2</f>
        <v/>
      </c>
      <c r="J112" s="23">
        <f>($B$3/$B$5)*EXP(-I112*$B$5/$B$6)</f>
        <v/>
      </c>
      <c r="K112" s="23">
        <f>-$B$3*EXP(-I112*$B$5/$B$6)</f>
        <v/>
      </c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  <c r="AB112" s="28">
        <f>AB111+$AA$2</f>
        <v/>
      </c>
      <c r="AC112" s="23">
        <f>($U$3/$U$5)*EXP(-AB112*$U$5/$U$6)</f>
        <v/>
      </c>
      <c r="AD112" s="23">
        <f>-$U$3*EXP(-AB112*$U$5/$U$6)</f>
        <v/>
      </c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  <c r="AP112" s="5" t="n"/>
      <c r="AQ112" s="5" t="n"/>
      <c r="AR112" s="5" t="n"/>
      <c r="AS112" s="5" t="n"/>
      <c r="AT112" s="5" t="n"/>
      <c r="AU112" s="5" t="n"/>
      <c r="AV112" s="5" t="n"/>
      <c r="AW112" s="28">
        <f>AW111+$AV$2</f>
        <v/>
      </c>
      <c r="AX112" s="23">
        <f>($AP$3/$AP$5)*EXP(-AW112*$AP$5/$AP$6)</f>
        <v/>
      </c>
      <c r="AY112" s="23">
        <f>-$AP$3*EXP(-AW112*$AP$5/$AP$6)</f>
        <v/>
      </c>
      <c r="AZ112" s="5" t="n"/>
      <c r="BA112" s="5" t="n"/>
      <c r="BB112" s="5" t="n"/>
      <c r="BC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29">
        <f>I112+$H$2</f>
        <v/>
      </c>
      <c r="J113" s="26">
        <f>($B$3/$B$5)*EXP(-I113*$B$5/$B$6)</f>
        <v/>
      </c>
      <c r="K113" s="26">
        <f>-$B$3*EXP(-I113*$B$5/$B$6)</f>
        <v/>
      </c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  <c r="AB113" s="29">
        <f>AB112+$AA$2</f>
        <v/>
      </c>
      <c r="AC113" s="26">
        <f>($U$3/$U$5)*EXP(-AB113*$U$5/$U$6)</f>
        <v/>
      </c>
      <c r="AD113" s="26">
        <f>-$U$3*EXP(-AB113*$U$5/$U$6)</f>
        <v/>
      </c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  <c r="AP113" s="5" t="n"/>
      <c r="AQ113" s="5" t="n"/>
      <c r="AR113" s="5" t="n"/>
      <c r="AS113" s="5" t="n"/>
      <c r="AT113" s="5" t="n"/>
      <c r="AU113" s="5" t="n"/>
      <c r="AV113" s="5" t="n"/>
      <c r="AW113" s="29">
        <f>AW112+$AV$2</f>
        <v/>
      </c>
      <c r="AX113" s="26">
        <f>($AP$3/$AP$5)*EXP(-AW113*$AP$5/$AP$6)</f>
        <v/>
      </c>
      <c r="AY113" s="26">
        <f>-$AP$3*EXP(-AW113*$AP$5/$AP$6)</f>
        <v/>
      </c>
      <c r="AZ113" s="5" t="n"/>
      <c r="BA113" s="5" t="n"/>
      <c r="BB113" s="5" t="n"/>
      <c r="BC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28">
        <f>I113+$H$2</f>
        <v/>
      </c>
      <c r="J114" s="23">
        <f>($B$3/$B$5)*EXP(-I114*$B$5/$B$6)</f>
        <v/>
      </c>
      <c r="K114" s="23">
        <f>-$B$3*EXP(-I114*$B$5/$B$6)</f>
        <v/>
      </c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  <c r="AB114" s="28">
        <f>AB113+$AA$2</f>
        <v/>
      </c>
      <c r="AC114" s="23">
        <f>($U$3/$U$5)*EXP(-AB114*$U$5/$U$6)</f>
        <v/>
      </c>
      <c r="AD114" s="23">
        <f>-$U$3*EXP(-AB114*$U$5/$U$6)</f>
        <v/>
      </c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  <c r="AP114" s="5" t="n"/>
      <c r="AQ114" s="5" t="n"/>
      <c r="AR114" s="5" t="n"/>
      <c r="AS114" s="5" t="n"/>
      <c r="AT114" s="5" t="n"/>
      <c r="AU114" s="5" t="n"/>
      <c r="AV114" s="5" t="n"/>
      <c r="AW114" s="28">
        <f>AW113+$AV$2</f>
        <v/>
      </c>
      <c r="AX114" s="23">
        <f>($AP$3/$AP$5)*EXP(-AW114*$AP$5/$AP$6)</f>
        <v/>
      </c>
      <c r="AY114" s="23">
        <f>-$AP$3*EXP(-AW114*$AP$5/$AP$6)</f>
        <v/>
      </c>
      <c r="AZ114" s="5" t="n"/>
      <c r="BA114" s="5" t="n"/>
      <c r="BB114" s="5" t="n"/>
      <c r="BC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29">
        <f>I114+$H$2</f>
        <v/>
      </c>
      <c r="J115" s="26">
        <f>($B$3/$B$5)*EXP(-I115*$B$5/$B$6)</f>
        <v/>
      </c>
      <c r="K115" s="26">
        <f>-$B$3*EXP(-I115*$B$5/$B$6)</f>
        <v/>
      </c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  <c r="AB115" s="29">
        <f>AB114+$AA$2</f>
        <v/>
      </c>
      <c r="AC115" s="26">
        <f>($U$3/$U$5)*EXP(-AB115*$U$5/$U$6)</f>
        <v/>
      </c>
      <c r="AD115" s="26">
        <f>-$U$3*EXP(-AB115*$U$5/$U$6)</f>
        <v/>
      </c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  <c r="AP115" s="5" t="n"/>
      <c r="AQ115" s="5" t="n"/>
      <c r="AR115" s="5" t="n"/>
      <c r="AS115" s="5" t="n"/>
      <c r="AT115" s="5" t="n"/>
      <c r="AU115" s="5" t="n"/>
      <c r="AV115" s="5" t="n"/>
      <c r="AW115" s="29">
        <f>AW114+$AV$2</f>
        <v/>
      </c>
      <c r="AX115" s="26">
        <f>($AP$3/$AP$5)*EXP(-AW115*$AP$5/$AP$6)</f>
        <v/>
      </c>
      <c r="AY115" s="26">
        <f>-$AP$3*EXP(-AW115*$AP$5/$AP$6)</f>
        <v/>
      </c>
      <c r="AZ115" s="5" t="n"/>
      <c r="BA115" s="5" t="n"/>
      <c r="BB115" s="5" t="n"/>
      <c r="BC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28">
        <f>I115+$H$2</f>
        <v/>
      </c>
      <c r="J116" s="23">
        <f>($B$3/$B$5)*EXP(-I116*$B$5/$B$6)</f>
        <v/>
      </c>
      <c r="K116" s="23">
        <f>-$B$3*EXP(-I116*$B$5/$B$6)</f>
        <v/>
      </c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  <c r="AB116" s="28">
        <f>AB115+$AA$2</f>
        <v/>
      </c>
      <c r="AC116" s="23">
        <f>($U$3/$U$5)*EXP(-AB116*$U$5/$U$6)</f>
        <v/>
      </c>
      <c r="AD116" s="23">
        <f>-$U$3*EXP(-AB116*$U$5/$U$6)</f>
        <v/>
      </c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  <c r="AP116" s="5" t="n"/>
      <c r="AQ116" s="5" t="n"/>
      <c r="AR116" s="5" t="n"/>
      <c r="AS116" s="5" t="n"/>
      <c r="AT116" s="5" t="n"/>
      <c r="AU116" s="5" t="n"/>
      <c r="AV116" s="5" t="n"/>
      <c r="AW116" s="28">
        <f>AW115+$AV$2</f>
        <v/>
      </c>
      <c r="AX116" s="23">
        <f>($AP$3/$AP$5)*EXP(-AW116*$AP$5/$AP$6)</f>
        <v/>
      </c>
      <c r="AY116" s="23">
        <f>-$AP$3*EXP(-AW116*$AP$5/$AP$6)</f>
        <v/>
      </c>
      <c r="AZ116" s="5" t="n"/>
      <c r="BA116" s="5" t="n"/>
      <c r="BB116" s="5" t="n"/>
      <c r="BC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29">
        <f>I116+$H$2</f>
        <v/>
      </c>
      <c r="J117" s="26">
        <f>($B$3/$B$5)*EXP(-I117*$B$5/$B$6)</f>
        <v/>
      </c>
      <c r="K117" s="26">
        <f>-$B$3*EXP(-I117*$B$5/$B$6)</f>
        <v/>
      </c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  <c r="AB117" s="29">
        <f>AB116+$AA$2</f>
        <v/>
      </c>
      <c r="AC117" s="26">
        <f>($U$3/$U$5)*EXP(-AB117*$U$5/$U$6)</f>
        <v/>
      </c>
      <c r="AD117" s="26">
        <f>-$U$3*EXP(-AB117*$U$5/$U$6)</f>
        <v/>
      </c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  <c r="AP117" s="5" t="n"/>
      <c r="AQ117" s="5" t="n"/>
      <c r="AR117" s="5" t="n"/>
      <c r="AS117" s="5" t="n"/>
      <c r="AT117" s="5" t="n"/>
      <c r="AU117" s="5" t="n"/>
      <c r="AV117" s="5" t="n"/>
      <c r="AW117" s="29">
        <f>AW116+$AV$2</f>
        <v/>
      </c>
      <c r="AX117" s="26">
        <f>($AP$3/$AP$5)*EXP(-AW117*$AP$5/$AP$6)</f>
        <v/>
      </c>
      <c r="AY117" s="26">
        <f>-$AP$3*EXP(-AW117*$AP$5/$AP$6)</f>
        <v/>
      </c>
      <c r="AZ117" s="5" t="n"/>
      <c r="BA117" s="5" t="n"/>
      <c r="BB117" s="5" t="n"/>
      <c r="BC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28">
        <f>I117+$H$2</f>
        <v/>
      </c>
      <c r="J118" s="23">
        <f>($B$3/$B$5)*EXP(-I118*$B$5/$B$6)</f>
        <v/>
      </c>
      <c r="K118" s="23">
        <f>-$B$3*EXP(-I118*$B$5/$B$6)</f>
        <v/>
      </c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  <c r="AB118" s="28">
        <f>AB117+$AA$2</f>
        <v/>
      </c>
      <c r="AC118" s="23">
        <f>($U$3/$U$5)*EXP(-AB118*$U$5/$U$6)</f>
        <v/>
      </c>
      <c r="AD118" s="23">
        <f>-$U$3*EXP(-AB118*$U$5/$U$6)</f>
        <v/>
      </c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  <c r="AP118" s="5" t="n"/>
      <c r="AQ118" s="5" t="n"/>
      <c r="AR118" s="5" t="n"/>
      <c r="AS118" s="5" t="n"/>
      <c r="AT118" s="5" t="n"/>
      <c r="AU118" s="5" t="n"/>
      <c r="AV118" s="5" t="n"/>
      <c r="AW118" s="28">
        <f>AW117+$AV$2</f>
        <v/>
      </c>
      <c r="AX118" s="23">
        <f>($AP$3/$AP$5)*EXP(-AW118*$AP$5/$AP$6)</f>
        <v/>
      </c>
      <c r="AY118" s="23">
        <f>-$AP$3*EXP(-AW118*$AP$5/$AP$6)</f>
        <v/>
      </c>
      <c r="AZ118" s="5" t="n"/>
      <c r="BA118" s="5" t="n"/>
      <c r="BB118" s="5" t="n"/>
      <c r="BC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29">
        <f>I118+$H$2</f>
        <v/>
      </c>
      <c r="J119" s="26">
        <f>($B$3/$B$5)*EXP(-I119*$B$5/$B$6)</f>
        <v/>
      </c>
      <c r="K119" s="26">
        <f>-$B$3*EXP(-I119*$B$5/$B$6)</f>
        <v/>
      </c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29">
        <f>AB118+$AA$2</f>
        <v/>
      </c>
      <c r="AC119" s="26">
        <f>($U$3/$U$5)*EXP(-AB119*$U$5/$U$6)</f>
        <v/>
      </c>
      <c r="AD119" s="26">
        <f>-$U$3*EXP(-AB119*$U$5/$U$6)</f>
        <v/>
      </c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  <c r="AP119" s="5" t="n"/>
      <c r="AQ119" s="5" t="n"/>
      <c r="AR119" s="5" t="n"/>
      <c r="AS119" s="5" t="n"/>
      <c r="AT119" s="5" t="n"/>
      <c r="AU119" s="5" t="n"/>
      <c r="AV119" s="5" t="n"/>
      <c r="AW119" s="29">
        <f>AW118+$AV$2</f>
        <v/>
      </c>
      <c r="AX119" s="26">
        <f>($AP$3/$AP$5)*EXP(-AW119*$AP$5/$AP$6)</f>
        <v/>
      </c>
      <c r="AY119" s="26">
        <f>-$AP$3*EXP(-AW119*$AP$5/$AP$6)</f>
        <v/>
      </c>
      <c r="AZ119" s="5" t="n"/>
      <c r="BA119" s="5" t="n"/>
      <c r="BB119" s="5" t="n"/>
      <c r="BC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28">
        <f>I119+$H$2</f>
        <v/>
      </c>
      <c r="J120" s="23">
        <f>($B$3/$B$5)*EXP(-I120*$B$5/$B$6)</f>
        <v/>
      </c>
      <c r="K120" s="23">
        <f>-$B$3*EXP(-I120*$B$5/$B$6)</f>
        <v/>
      </c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  <c r="AB120" s="28">
        <f>AB119+$AA$2</f>
        <v/>
      </c>
      <c r="AC120" s="23">
        <f>($U$3/$U$5)*EXP(-AB120*$U$5/$U$6)</f>
        <v/>
      </c>
      <c r="AD120" s="23">
        <f>-$U$3*EXP(-AB120*$U$5/$U$6)</f>
        <v/>
      </c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  <c r="AP120" s="5" t="n"/>
      <c r="AQ120" s="5" t="n"/>
      <c r="AR120" s="5" t="n"/>
      <c r="AS120" s="5" t="n"/>
      <c r="AT120" s="5" t="n"/>
      <c r="AU120" s="5" t="n"/>
      <c r="AV120" s="5" t="n"/>
      <c r="AW120" s="28">
        <f>AW119+$AV$2</f>
        <v/>
      </c>
      <c r="AX120" s="23">
        <f>($AP$3/$AP$5)*EXP(-AW120*$AP$5/$AP$6)</f>
        <v/>
      </c>
      <c r="AY120" s="23">
        <f>-$AP$3*EXP(-AW120*$AP$5/$AP$6)</f>
        <v/>
      </c>
      <c r="AZ120" s="5" t="n"/>
      <c r="BA120" s="5" t="n"/>
      <c r="BB120" s="5" t="n"/>
      <c r="BC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  <c r="AP121" s="5" t="n"/>
      <c r="AQ121" s="5" t="n"/>
      <c r="AR121" s="5" t="n"/>
      <c r="AS121" s="5" t="n"/>
      <c r="AT121" s="5" t="n"/>
      <c r="AU121" s="5" t="n"/>
      <c r="AV121" s="5" t="n"/>
      <c r="AW121" s="5" t="n"/>
      <c r="AX121" s="5" t="n"/>
      <c r="AY121" s="5" t="n"/>
      <c r="AZ121" s="5" t="n"/>
      <c r="BA121" s="5" t="n"/>
      <c r="BB121" s="5" t="n"/>
      <c r="BC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  <c r="AP122" s="5" t="n"/>
      <c r="AQ122" s="5" t="n"/>
      <c r="AR122" s="5" t="n"/>
      <c r="AS122" s="5" t="n"/>
      <c r="AT122" s="5" t="n"/>
      <c r="AU122" s="5" t="n"/>
      <c r="AV122" s="5" t="n"/>
      <c r="AW122" s="5" t="n"/>
      <c r="AX122" s="5" t="n"/>
      <c r="AY122" s="5" t="n"/>
      <c r="AZ122" s="5" t="n"/>
      <c r="BA122" s="5" t="n"/>
      <c r="BB122" s="5" t="n"/>
      <c r="BC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  <c r="AP123" s="5" t="n"/>
      <c r="AQ123" s="5" t="n"/>
      <c r="AR123" s="5" t="n"/>
      <c r="AS123" s="5" t="n"/>
      <c r="AT123" s="5" t="n"/>
      <c r="AU123" s="5" t="n"/>
      <c r="AV123" s="5" t="n"/>
      <c r="AW123" s="5" t="n"/>
      <c r="AX123" s="5" t="n"/>
      <c r="AY123" s="5" t="n"/>
      <c r="AZ123" s="5" t="n"/>
      <c r="BA123" s="5" t="n"/>
      <c r="BB123" s="5" t="n"/>
      <c r="BC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  <c r="AP124" s="5" t="n"/>
      <c r="AQ124" s="5" t="n"/>
      <c r="AR124" s="5" t="n"/>
      <c r="AS124" s="5" t="n"/>
      <c r="AT124" s="5" t="n"/>
      <c r="AU124" s="5" t="n"/>
      <c r="AV124" s="5" t="n"/>
      <c r="AW124" s="5" t="n"/>
      <c r="AX124" s="5" t="n"/>
      <c r="AY124" s="5" t="n"/>
      <c r="AZ124" s="5" t="n"/>
      <c r="BA124" s="5" t="n"/>
      <c r="BB124" s="5" t="n"/>
      <c r="BC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  <c r="AP125" s="5" t="n"/>
      <c r="AQ125" s="5" t="n"/>
      <c r="AR125" s="5" t="n"/>
      <c r="AS125" s="5" t="n"/>
      <c r="AT125" s="5" t="n"/>
      <c r="AU125" s="5" t="n"/>
      <c r="AV125" s="5" t="n"/>
      <c r="AW125" s="5" t="n"/>
      <c r="AX125" s="5" t="n"/>
      <c r="AY125" s="5" t="n"/>
      <c r="AZ125" s="5" t="n"/>
      <c r="BA125" s="5" t="n"/>
      <c r="BB125" s="5" t="n"/>
      <c r="BC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  <c r="AB126" s="5" t="n"/>
      <c r="AC126" s="5" t="n"/>
      <c r="AD126" s="5" t="n"/>
      <c r="AE126" s="5" t="n"/>
      <c r="AF126" s="5" t="n"/>
      <c r="AG126" s="5" t="n"/>
      <c r="AH126" s="5" t="n"/>
      <c r="AI126" s="5" t="n"/>
      <c r="AJ126" s="5" t="n"/>
      <c r="AK126" s="5" t="n"/>
      <c r="AL126" s="5" t="n"/>
      <c r="AM126" s="5" t="n"/>
      <c r="AN126" s="5" t="n"/>
      <c r="AO126" s="5" t="n"/>
      <c r="AP126" s="5" t="n"/>
      <c r="AQ126" s="5" t="n"/>
      <c r="AR126" s="5" t="n"/>
      <c r="AS126" s="5" t="n"/>
      <c r="AT126" s="5" t="n"/>
      <c r="AU126" s="5" t="n"/>
      <c r="AV126" s="5" t="n"/>
      <c r="AW126" s="5" t="n"/>
      <c r="AX126" s="5" t="n"/>
      <c r="AY126" s="5" t="n"/>
      <c r="AZ126" s="5" t="n"/>
      <c r="BA126" s="5" t="n"/>
      <c r="BB126" s="5" t="n"/>
      <c r="BC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  <c r="AB127" s="5" t="n"/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  <c r="AM127" s="5" t="n"/>
      <c r="AN127" s="5" t="n"/>
      <c r="AO127" s="5" t="n"/>
      <c r="AP127" s="5" t="n"/>
      <c r="AQ127" s="5" t="n"/>
      <c r="AR127" s="5" t="n"/>
      <c r="AS127" s="5" t="n"/>
      <c r="AT127" s="5" t="n"/>
      <c r="AU127" s="5" t="n"/>
      <c r="AV127" s="5" t="n"/>
      <c r="AW127" s="5" t="n"/>
      <c r="AX127" s="5" t="n"/>
      <c r="AY127" s="5" t="n"/>
      <c r="AZ127" s="5" t="n"/>
      <c r="BA127" s="5" t="n"/>
      <c r="BB127" s="5" t="n"/>
      <c r="BC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  <c r="AB128" s="5" t="n"/>
      <c r="AC128" s="5" t="n"/>
      <c r="AD128" s="5" t="n"/>
      <c r="AE128" s="5" t="n"/>
      <c r="AF128" s="5" t="n"/>
      <c r="AG128" s="5" t="n"/>
      <c r="AH128" s="5" t="n"/>
      <c r="AI128" s="5" t="n"/>
      <c r="AJ128" s="5" t="n"/>
      <c r="AK128" s="5" t="n"/>
      <c r="AL128" s="5" t="n"/>
      <c r="AM128" s="5" t="n"/>
      <c r="AN128" s="5" t="n"/>
      <c r="AO128" s="5" t="n"/>
      <c r="AP128" s="5" t="n"/>
      <c r="AQ128" s="5" t="n"/>
      <c r="AR128" s="5" t="n"/>
      <c r="AS128" s="5" t="n"/>
      <c r="AT128" s="5" t="n"/>
      <c r="AU128" s="5" t="n"/>
      <c r="AV128" s="5" t="n"/>
      <c r="AW128" s="5" t="n"/>
      <c r="AX128" s="5" t="n"/>
      <c r="AY128" s="5" t="n"/>
      <c r="AZ128" s="5" t="n"/>
      <c r="BA128" s="5" t="n"/>
      <c r="BB128" s="5" t="n"/>
      <c r="BC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  <c r="AB129" s="5" t="n"/>
      <c r="AC129" s="5" t="n"/>
      <c r="AD129" s="5" t="n"/>
      <c r="AE129" s="5" t="n"/>
      <c r="AF129" s="5" t="n"/>
      <c r="AG129" s="5" t="n"/>
      <c r="AH129" s="5" t="n"/>
      <c r="AI129" s="5" t="n"/>
      <c r="AJ129" s="5" t="n"/>
      <c r="AK129" s="5" t="n"/>
      <c r="AL129" s="5" t="n"/>
      <c r="AM129" s="5" t="n"/>
      <c r="AN129" s="5" t="n"/>
      <c r="AO129" s="5" t="n"/>
      <c r="AP129" s="5" t="n"/>
      <c r="AQ129" s="5" t="n"/>
      <c r="AR129" s="5" t="n"/>
      <c r="AS129" s="5" t="n"/>
      <c r="AT129" s="5" t="n"/>
      <c r="AU129" s="5" t="n"/>
      <c r="AV129" s="5" t="n"/>
      <c r="AW129" s="5" t="n"/>
      <c r="AX129" s="5" t="n"/>
      <c r="AY129" s="5" t="n"/>
      <c r="AZ129" s="5" t="n"/>
      <c r="BA129" s="5" t="n"/>
      <c r="BB129" s="5" t="n"/>
      <c r="BC129" s="5" t="n"/>
    </row>
    <row r="130">
      <c r="A130" s="30" t="inlineStr">
        <is>
          <t>Что считается</t>
        </is>
      </c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  <c r="AB130" s="5" t="n"/>
      <c r="AC130" s="5" t="n"/>
      <c r="AD130" s="5" t="n"/>
      <c r="AE130" s="5" t="n"/>
      <c r="AF130" s="5" t="n"/>
      <c r="AG130" s="5" t="n"/>
      <c r="AH130" s="5" t="n"/>
      <c r="AI130" s="5" t="n"/>
      <c r="AJ130" s="5" t="n"/>
      <c r="AK130" s="5" t="n"/>
      <c r="AL130" s="5" t="n"/>
      <c r="AM130" s="5" t="n"/>
      <c r="AN130" s="5" t="n"/>
      <c r="AO130" s="5" t="n"/>
      <c r="AP130" s="5" t="n"/>
      <c r="AQ130" s="5" t="n"/>
      <c r="AR130" s="5" t="n"/>
      <c r="AS130" s="5" t="n"/>
      <c r="AT130" s="5" t="n"/>
      <c r="AU130" s="5" t="n"/>
      <c r="AV130" s="5" t="n"/>
      <c r="AW130" s="5" t="n"/>
      <c r="AX130" s="5" t="n"/>
      <c r="AY130" s="5" t="n"/>
      <c r="AZ130" s="5" t="n"/>
      <c r="BA130" s="5" t="n"/>
      <c r="BB130" s="5" t="n"/>
      <c r="BC130" s="5" t="n"/>
    </row>
    <row r="131">
      <c r="A131" s="31" t="inlineStr">
        <is>
          <t>заряд:   Iз=(E/r)*(1-EXP(-t*r/L)),   Uз=E*EXP(-t*r/L)</t>
        </is>
      </c>
      <c r="B131" s="32" t="n"/>
      <c r="C131" s="32" t="n"/>
      <c r="D131" s="32" t="n"/>
      <c r="E131" s="32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  <c r="AB131" s="5" t="n"/>
      <c r="AC131" s="5" t="n"/>
      <c r="AD131" s="5" t="n"/>
      <c r="AE131" s="5" t="n"/>
      <c r="AF131" s="5" t="n"/>
      <c r="AG131" s="5" t="n"/>
      <c r="AH131" s="5" t="n"/>
      <c r="AI131" s="5" t="n"/>
      <c r="AJ131" s="5" t="n"/>
      <c r="AK131" s="5" t="n"/>
      <c r="AL131" s="5" t="n"/>
      <c r="AM131" s="5" t="n"/>
      <c r="AN131" s="5" t="n"/>
      <c r="AO131" s="5" t="n"/>
      <c r="AP131" s="5" t="n"/>
      <c r="AQ131" s="5" t="n"/>
      <c r="AR131" s="5" t="n"/>
      <c r="AS131" s="5" t="n"/>
      <c r="AT131" s="5" t="n"/>
      <c r="AU131" s="5" t="n"/>
      <c r="AV131" s="5" t="n"/>
      <c r="AW131" s="5" t="n"/>
      <c r="AX131" s="5" t="n"/>
      <c r="AY131" s="5" t="n"/>
      <c r="AZ131" s="5" t="n"/>
      <c r="BA131" s="5" t="n"/>
      <c r="BB131" s="5" t="n"/>
      <c r="BC131" s="5" t="n"/>
    </row>
    <row r="132">
      <c r="A132" s="31" t="inlineStr">
        <is>
          <t>разряд: Iр=(E/R)*EXP(-t*R/L),   Uр=-E*EXP(-t*R/L)</t>
        </is>
      </c>
      <c r="B132" s="32" t="n"/>
      <c r="C132" s="32" t="n"/>
      <c r="D132" s="32" t="n"/>
      <c r="E132" s="32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  <c r="AB132" s="5" t="n"/>
      <c r="AC132" s="5" t="n"/>
      <c r="AD132" s="5" t="n"/>
      <c r="AE132" s="5" t="n"/>
      <c r="AF132" s="5" t="n"/>
      <c r="AG132" s="5" t="n"/>
      <c r="AH132" s="5" t="n"/>
      <c r="AI132" s="5" t="n"/>
      <c r="AJ132" s="5" t="n"/>
      <c r="AK132" s="5" t="n"/>
      <c r="AL132" s="5" t="n"/>
      <c r="AM132" s="5" t="n"/>
      <c r="AN132" s="5" t="n"/>
      <c r="AO132" s="5" t="n"/>
      <c r="AP132" s="5" t="n"/>
      <c r="AQ132" s="5" t="n"/>
      <c r="AR132" s="5" t="n"/>
      <c r="AS132" s="5" t="n"/>
      <c r="AT132" s="5" t="n"/>
      <c r="AU132" s="5" t="n"/>
      <c r="AV132" s="5" t="n"/>
      <c r="AW132" s="5" t="n"/>
      <c r="AX132" s="5" t="n"/>
      <c r="AY132" s="5" t="n"/>
      <c r="AZ132" s="5" t="n"/>
      <c r="BA132" s="5" t="n"/>
      <c r="BB132" s="5" t="n"/>
      <c r="BC132" s="5" t="n"/>
    </row>
    <row r="133">
      <c r="A133" s="31" t="inlineStr">
        <is>
          <t>L в ячейке B6:  =POWER(10,-4)*9   (это 9*10^(-4) Гн)</t>
        </is>
      </c>
      <c r="B133" s="32" t="n"/>
      <c r="C133" s="32" t="n"/>
      <c r="D133" s="32" t="n"/>
      <c r="E133" s="32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  <c r="AG133" s="5" t="n"/>
      <c r="AH133" s="5" t="n"/>
      <c r="AI133" s="5" t="n"/>
      <c r="AJ133" s="5" t="n"/>
      <c r="AK133" s="5" t="n"/>
      <c r="AL133" s="5" t="n"/>
      <c r="AM133" s="5" t="n"/>
      <c r="AN133" s="5" t="n"/>
      <c r="AO133" s="5" t="n"/>
      <c r="AP133" s="5" t="n"/>
      <c r="AQ133" s="5" t="n"/>
      <c r="AR133" s="5" t="n"/>
      <c r="AS133" s="5" t="n"/>
      <c r="AT133" s="5" t="n"/>
      <c r="AU133" s="5" t="n"/>
      <c r="AV133" s="5" t="n"/>
      <c r="AW133" s="5" t="n"/>
      <c r="AX133" s="5" t="n"/>
      <c r="AY133" s="5" t="n"/>
      <c r="AZ133" s="5" t="n"/>
      <c r="BA133" s="5" t="n"/>
      <c r="BB133" s="5" t="n"/>
      <c r="BC133" s="5" t="n"/>
    </row>
    <row r="134">
      <c r="A134" s="31" t="inlineStr">
        <is>
          <t>разряд на графике — строки 70:120, шаг 10*τр, иначе за 1 шаг заряда разряд уже кончился</t>
        </is>
      </c>
      <c r="B134" s="32" t="n"/>
      <c r="C134" s="32" t="n"/>
      <c r="D134" s="32" t="n"/>
      <c r="E134" s="32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  <c r="AB134" s="5" t="n"/>
      <c r="AC134" s="5" t="n"/>
      <c r="AD134" s="5" t="n"/>
      <c r="AE134" s="5" t="n"/>
      <c r="AF134" s="5" t="n"/>
      <c r="AG134" s="5" t="n"/>
      <c r="AH134" s="5" t="n"/>
      <c r="AI134" s="5" t="n"/>
      <c r="AJ134" s="5" t="n"/>
      <c r="AK134" s="5" t="n"/>
      <c r="AL134" s="5" t="n"/>
      <c r="AM134" s="5" t="n"/>
      <c r="AN134" s="5" t="n"/>
      <c r="AO134" s="5" t="n"/>
      <c r="AP134" s="5" t="n"/>
      <c r="AQ134" s="5" t="n"/>
      <c r="AR134" s="5" t="n"/>
      <c r="AS134" s="5" t="n"/>
      <c r="AT134" s="5" t="n"/>
      <c r="AU134" s="5" t="n"/>
      <c r="AV134" s="5" t="n"/>
      <c r="AW134" s="5" t="n"/>
      <c r="AX134" s="5" t="n"/>
      <c r="AY134" s="5" t="n"/>
      <c r="AZ134" s="5" t="n"/>
      <c r="BA134" s="5" t="n"/>
      <c r="BB134" s="5" t="n"/>
      <c r="BC134" s="5" t="n"/>
    </row>
    <row r="135">
      <c r="A135" s="31" t="inlineStr">
        <is>
          <t>оранжевые столбцы — ток, синие — напряжение</t>
        </is>
      </c>
      <c r="B135" s="32" t="n"/>
      <c r="C135" s="32" t="n"/>
      <c r="D135" s="32" t="n"/>
      <c r="E135" s="32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  <c r="AB135" s="5" t="n"/>
      <c r="AC135" s="5" t="n"/>
      <c r="AD135" s="5" t="n"/>
      <c r="AE135" s="5" t="n"/>
      <c r="AF135" s="5" t="n"/>
      <c r="AG135" s="5" t="n"/>
      <c r="AH135" s="5" t="n"/>
      <c r="AI135" s="5" t="n"/>
      <c r="AJ135" s="5" t="n"/>
      <c r="AK135" s="5" t="n"/>
      <c r="AL135" s="5" t="n"/>
      <c r="AM135" s="5" t="n"/>
      <c r="AN135" s="5" t="n"/>
      <c r="AO135" s="5" t="n"/>
      <c r="AP135" s="5" t="n"/>
      <c r="AQ135" s="5" t="n"/>
      <c r="AR135" s="5" t="n"/>
      <c r="AS135" s="5" t="n"/>
      <c r="AT135" s="5" t="n"/>
      <c r="AU135" s="5" t="n"/>
      <c r="AV135" s="5" t="n"/>
      <c r="AW135" s="5" t="n"/>
      <c r="AX135" s="5" t="n"/>
      <c r="AY135" s="5" t="n"/>
      <c r="AZ135" s="5" t="n"/>
      <c r="BA135" s="5" t="n"/>
      <c r="BB135" s="5" t="n"/>
      <c r="BC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  <c r="AB136" s="5" t="n"/>
      <c r="AC136" s="5" t="n"/>
      <c r="AD136" s="5" t="n"/>
      <c r="AE136" s="5" t="n"/>
      <c r="AF136" s="5" t="n"/>
      <c r="AG136" s="5" t="n"/>
      <c r="AH136" s="5" t="n"/>
      <c r="AI136" s="5" t="n"/>
      <c r="AJ136" s="5" t="n"/>
      <c r="AK136" s="5" t="n"/>
      <c r="AL136" s="5" t="n"/>
      <c r="AM136" s="5" t="n"/>
      <c r="AN136" s="5" t="n"/>
      <c r="AO136" s="5" t="n"/>
      <c r="AP136" s="5" t="n"/>
      <c r="AQ136" s="5" t="n"/>
      <c r="AR136" s="5" t="n"/>
      <c r="AS136" s="5" t="n"/>
      <c r="AT136" s="5" t="n"/>
      <c r="AU136" s="5" t="n"/>
      <c r="AV136" s="5" t="n"/>
      <c r="AW136" s="5" t="n"/>
      <c r="AX136" s="5" t="n"/>
      <c r="AY136" s="5" t="n"/>
      <c r="AZ136" s="5" t="n"/>
      <c r="BA136" s="5" t="n"/>
      <c r="BB136" s="5" t="n"/>
      <c r="BC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  <c r="AB137" s="5" t="n"/>
      <c r="AC137" s="5" t="n"/>
      <c r="AD137" s="5" t="n"/>
      <c r="AE137" s="5" t="n"/>
      <c r="AF137" s="5" t="n"/>
      <c r="AG137" s="5" t="n"/>
      <c r="AH137" s="5" t="n"/>
      <c r="AI137" s="5" t="n"/>
      <c r="AJ137" s="5" t="n"/>
      <c r="AK137" s="5" t="n"/>
      <c r="AL137" s="5" t="n"/>
      <c r="AM137" s="5" t="n"/>
      <c r="AN137" s="5" t="n"/>
      <c r="AO137" s="5" t="n"/>
      <c r="AP137" s="5" t="n"/>
      <c r="AQ137" s="5" t="n"/>
      <c r="AR137" s="5" t="n"/>
      <c r="AS137" s="5" t="n"/>
      <c r="AT137" s="5" t="n"/>
      <c r="AU137" s="5" t="n"/>
      <c r="AV137" s="5" t="n"/>
      <c r="AW137" s="5" t="n"/>
      <c r="AX137" s="5" t="n"/>
      <c r="AY137" s="5" t="n"/>
      <c r="AZ137" s="5" t="n"/>
      <c r="BA137" s="5" t="n"/>
      <c r="BB137" s="5" t="n"/>
      <c r="BC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  <c r="AB138" s="5" t="n"/>
      <c r="AC138" s="5" t="n"/>
      <c r="AD138" s="5" t="n"/>
      <c r="AE138" s="5" t="n"/>
      <c r="AF138" s="5" t="n"/>
      <c r="AG138" s="5" t="n"/>
      <c r="AH138" s="5" t="n"/>
      <c r="AI138" s="5" t="n"/>
      <c r="AJ138" s="5" t="n"/>
      <c r="AK138" s="5" t="n"/>
      <c r="AL138" s="5" t="n"/>
      <c r="AM138" s="5" t="n"/>
      <c r="AN138" s="5" t="n"/>
      <c r="AO138" s="5" t="n"/>
      <c r="AP138" s="5" t="n"/>
      <c r="AQ138" s="5" t="n"/>
      <c r="AR138" s="5" t="n"/>
      <c r="AS138" s="5" t="n"/>
      <c r="AT138" s="5" t="n"/>
      <c r="AU138" s="5" t="n"/>
      <c r="AV138" s="5" t="n"/>
      <c r="AW138" s="5" t="n"/>
      <c r="AX138" s="5" t="n"/>
      <c r="AY138" s="5" t="n"/>
      <c r="AZ138" s="5" t="n"/>
      <c r="BA138" s="5" t="n"/>
      <c r="BB138" s="5" t="n"/>
      <c r="BC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  <c r="AB139" s="5" t="n"/>
      <c r="AC139" s="5" t="n"/>
      <c r="AD139" s="5" t="n"/>
      <c r="AE139" s="5" t="n"/>
      <c r="AF139" s="5" t="n"/>
      <c r="AG139" s="5" t="n"/>
      <c r="AH139" s="5" t="n"/>
      <c r="AI139" s="5" t="n"/>
      <c r="AJ139" s="5" t="n"/>
      <c r="AK139" s="5" t="n"/>
      <c r="AL139" s="5" t="n"/>
      <c r="AM139" s="5" t="n"/>
      <c r="AN139" s="5" t="n"/>
      <c r="AO139" s="5" t="n"/>
      <c r="AP139" s="5" t="n"/>
      <c r="AQ139" s="5" t="n"/>
      <c r="AR139" s="5" t="n"/>
      <c r="AS139" s="5" t="n"/>
      <c r="AT139" s="5" t="n"/>
      <c r="AU139" s="5" t="n"/>
      <c r="AV139" s="5" t="n"/>
      <c r="AW139" s="5" t="n"/>
      <c r="AX139" s="5" t="n"/>
      <c r="AY139" s="5" t="n"/>
      <c r="AZ139" s="5" t="n"/>
      <c r="BA139" s="5" t="n"/>
      <c r="BB139" s="5" t="n"/>
      <c r="BC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  <c r="AB140" s="5" t="n"/>
      <c r="AC140" s="5" t="n"/>
      <c r="AD140" s="5" t="n"/>
      <c r="AE140" s="5" t="n"/>
      <c r="AF140" s="5" t="n"/>
      <c r="AG140" s="5" t="n"/>
      <c r="AH140" s="5" t="n"/>
      <c r="AI140" s="5" t="n"/>
      <c r="AJ140" s="5" t="n"/>
      <c r="AK140" s="5" t="n"/>
      <c r="AL140" s="5" t="n"/>
      <c r="AM140" s="5" t="n"/>
      <c r="AN140" s="5" t="n"/>
      <c r="AO140" s="5" t="n"/>
      <c r="AP140" s="5" t="n"/>
      <c r="AQ140" s="5" t="n"/>
      <c r="AR140" s="5" t="n"/>
      <c r="AS140" s="5" t="n"/>
      <c r="AT140" s="5" t="n"/>
      <c r="AU140" s="5" t="n"/>
      <c r="AV140" s="5" t="n"/>
      <c r="AW140" s="5" t="n"/>
      <c r="AX140" s="5" t="n"/>
      <c r="AY140" s="5" t="n"/>
      <c r="AZ140" s="5" t="n"/>
      <c r="BA140" s="5" t="n"/>
      <c r="BB140" s="5" t="n"/>
      <c r="BC140" s="5" t="n"/>
    </row>
  </sheetData>
  <mergeCells count="16">
    <mergeCell ref="AT4:AU5"/>
    <mergeCell ref="A131:E131"/>
    <mergeCell ref="F4:G5"/>
    <mergeCell ref="T1:V1"/>
    <mergeCell ref="Y4:Z5"/>
    <mergeCell ref="A1:C1"/>
    <mergeCell ref="AO1:AQ1"/>
    <mergeCell ref="A134:E134"/>
    <mergeCell ref="A7:E7"/>
    <mergeCell ref="Y1:Z1"/>
    <mergeCell ref="A132:E132"/>
    <mergeCell ref="AT1:AU1"/>
    <mergeCell ref="A133:E133"/>
    <mergeCell ref="A135:E135"/>
    <mergeCell ref="F1:G1"/>
    <mergeCell ref="A130:E130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2026-09-10T10:20:35Z</dcterms:created>
  <dcterms:modified xmlns:dcterms="http://purl.org/dc/terms/" xmlns:xsi="http://www.w3.org/2001/XMLSchema-instance" xsi:type="dcterms:W3CDTF">2026-09-10T10:20:35Z</dcterms:modified>
</cp:coreProperties>
</file>