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и" sheetId="1" state="visible" r:id="rId1"/>
    <sheet xmlns:r="http://schemas.openxmlformats.org/officeDocument/2006/relationships" name="Sheet1" sheetId="2" state="visible" r:id="rId2"/>
  </sheets>
  <definedNames>
    <definedName name="_xlnm.Print_Titles" localSheetId="1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D2D2D"/>
      <sz val="11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3" fillId="5" borderId="1" applyAlignment="1" pivotButton="0" quotePrefix="0" xfId="0">
      <alignment horizontal="center" wrapText="1"/>
    </xf>
    <xf numFmtId="0" fontId="3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4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8" fillId="5" borderId="1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4" borderId="1" pivotButton="0" quotePrefix="0" xfId="0"/>
    <xf numFmtId="11" fontId="0" fillId="4" borderId="1" pivotButton="0" quotePrefix="0" xfId="0"/>
    <xf numFmtId="0" fontId="3" fillId="6" borderId="1" applyAlignment="1" pivotButton="0" quotePrefix="0" xfId="0">
      <alignment horizontal="center" wrapText="1"/>
    </xf>
    <xf numFmtId="165" fontId="5" fillId="3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166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6" fontId="5" fillId="11" borderId="1" applyAlignment="1" pivotButton="0" quotePrefix="0" xfId="0">
      <alignment horizontal="center"/>
    </xf>
    <xf numFmtId="166" fontId="5" fillId="12" borderId="1" applyAlignment="1" pivotButton="0" quotePrefix="0" xfId="0">
      <alignment horizontal="center"/>
    </xf>
    <xf numFmtId="0" fontId="6" fillId="13" borderId="0" pivotButton="0" quotePrefix="0" xfId="0"/>
    <xf numFmtId="167" fontId="5" fillId="3" borderId="1" applyAlignment="1" pivotButton="0" quotePrefix="0" xfId="0">
      <alignment horizontal="center"/>
    </xf>
    <xf numFmtId="167" fontId="5" fillId="10" borderId="1" applyAlignment="1" pivotButton="0" quotePrefix="0" xfId="0">
      <alignment horizontal="center"/>
    </xf>
    <xf numFmtId="0" fontId="7" fillId="2" borderId="0" pivotButton="0" quotePrefix="0" xfId="0"/>
    <xf numFmtId="0" fontId="5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25</xdr:col>
      <xdr:colOff>0</xdr:colOff>
      <xdr:row>74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18</xdr:col>
      <xdr:colOff>0</xdr:colOff>
      <xdr:row>26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27</xdr:row>
      <xdr:rowOff>0</xdr:rowOff>
    </xdr:from>
    <xdr:to>
      <xdr:col>18</xdr:col>
      <xdr:colOff>0</xdr:colOff>
      <xdr:row>44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11</xdr:row>
      <xdr:rowOff>0</xdr:rowOff>
    </xdr:from>
    <xdr:to>
      <xdr:col>37</xdr:col>
      <xdr:colOff>0</xdr:colOff>
      <xdr:row>26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27</xdr:row>
      <xdr:rowOff>0</xdr:rowOff>
    </xdr:from>
    <xdr:to>
      <xdr:col>37</xdr:col>
      <xdr:colOff>0</xdr:colOff>
      <xdr:row>44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0</xdr:colOff>
      <xdr:row>11</xdr:row>
      <xdr:rowOff>0</xdr:rowOff>
    </xdr:from>
    <xdr:to>
      <xdr:col>58</xdr:col>
      <xdr:colOff>0</xdr:colOff>
      <xdr:row>26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0</xdr:colOff>
      <xdr:row>27</xdr:row>
      <xdr:rowOff>0</xdr:rowOff>
    </xdr:from>
    <xdr:to>
      <xdr:col>58</xdr:col>
      <xdr:colOff>0</xdr:colOff>
      <xdr:row>44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0</xdr:colOff>
      <xdr:row>45</xdr:row>
      <xdr:rowOff>0</xdr:rowOff>
    </xdr:from>
    <xdr:to>
      <xdr:col>20</xdr:col>
      <xdr:colOff>0</xdr:colOff>
      <xdr:row>62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="http://schemas.openxmlformats.org/spreadsheetml/2006/main">
  <sheetPr>
    <tabColor rgb="00C45911"/>
    <outlinePr summaryBelow="1" summaryRight="1"/>
    <pageSetUpPr/>
  </sheetPr>
  <dimension ref="A1:Y2"/>
  <sheetViews>
    <sheetView showGridLines="0" zoomScale="90" workbookViewId="0">
      <selection activeCell="A1" sqref="A1"/>
    </sheetView>
  </sheetViews>
  <sheetFormatPr baseColWidth="8" defaultRowHeight="15"/>
  <cols>
    <col width="4.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</cols>
  <sheetData>
    <row r="1" ht="22" customHeight="1">
      <c r="A1" s="1" t="inlineStr">
        <is>
          <t>Заряд и разряд катушки — графики Excel (ряды из формул на листе Sheet1)</t>
        </is>
      </c>
    </row>
    <row r="2">
      <c r="A2" s="2" t="inlineStr">
        <is>
          <t>Оранжевый — ток, синий — напряжение. Дата работы: 2026.</t>
        </is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3" t="inlineStr">
        <is>
          <t>Исходные данные</t>
        </is>
      </c>
      <c r="B1" s="4" t="n"/>
      <c r="C1" s="4" t="n"/>
      <c r="D1" s="5" t="n"/>
      <c r="E1" s="5" t="n"/>
      <c r="F1" s="6" t="inlineStr">
        <is>
          <t>Базовый режим</t>
        </is>
      </c>
      <c r="G1" s="5" t="n"/>
      <c r="H1" s="7" t="inlineStr">
        <is>
          <t>Δtр = 10τр/(n-1)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3" t="inlineStr">
        <is>
          <t>Исходные данные</t>
        </is>
      </c>
      <c r="U1" s="4" t="n"/>
      <c r="V1" s="4" t="n"/>
      <c r="W1" s="5" t="n"/>
      <c r="X1" s="5" t="n"/>
      <c r="Y1" s="6" t="inlineStr">
        <is>
          <t>L меньше в 3 раза</t>
        </is>
      </c>
      <c r="Z1" s="5" t="n"/>
      <c r="AA1" s="7" t="inlineStr">
        <is>
          <t>Δtр = 10τр/(n-1)</t>
        </is>
      </c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3" t="inlineStr">
        <is>
          <t>Исходные данные</t>
        </is>
      </c>
      <c r="AP1" s="4" t="n"/>
      <c r="AQ1" s="4" t="n"/>
      <c r="AR1" s="5" t="n"/>
      <c r="AS1" s="5" t="n"/>
      <c r="AT1" s="6" t="inlineStr">
        <is>
          <t>r/2 и R/10</t>
        </is>
      </c>
      <c r="AU1" s="5" t="n"/>
      <c r="AV1" s="7" t="inlineStr">
        <is>
          <t>Δtр = 10τр/(n-1)</t>
        </is>
      </c>
      <c r="AW1" s="5" t="n"/>
      <c r="AX1" s="5" t="n"/>
      <c r="AY1" s="5" t="n"/>
      <c r="AZ1" s="5" t="n"/>
      <c r="BA1" s="5" t="n"/>
      <c r="BB1" s="5" t="n"/>
      <c r="BC1" s="5" t="n"/>
    </row>
    <row r="2">
      <c r="A2" s="3" t="inlineStr">
        <is>
          <t>Величина</t>
        </is>
      </c>
      <c r="B2" s="3" t="inlineStr">
        <is>
          <t>Значение</t>
        </is>
      </c>
      <c r="C2" s="3" t="inlineStr">
        <is>
          <t>Размерность</t>
        </is>
      </c>
      <c r="D2" s="5" t="n"/>
      <c r="E2" s="5" t="n"/>
      <c r="F2" s="5" t="inlineStr">
        <is>
          <t>Δt</t>
        </is>
      </c>
      <c r="G2" s="8" t="n">
        <v>5e-05</v>
      </c>
      <c r="H2" s="9">
        <f>10*$B$8/50</f>
        <v/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3" t="inlineStr">
        <is>
          <t>Величина</t>
        </is>
      </c>
      <c r="U2" s="3" t="inlineStr">
        <is>
          <t>Значение</t>
        </is>
      </c>
      <c r="V2" s="3" t="inlineStr">
        <is>
          <t>Размерность</t>
        </is>
      </c>
      <c r="W2" s="5" t="n"/>
      <c r="X2" s="5" t="n"/>
      <c r="Y2" s="5" t="inlineStr">
        <is>
          <t>Δt</t>
        </is>
      </c>
      <c r="Z2" s="8" t="n">
        <v>5e-05</v>
      </c>
      <c r="AA2" s="9">
        <f>10*$U$8/50</f>
        <v/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3" t="inlineStr">
        <is>
          <t>Величина</t>
        </is>
      </c>
      <c r="AP2" s="3" t="inlineStr">
        <is>
          <t>Значение</t>
        </is>
      </c>
      <c r="AQ2" s="3" t="inlineStr">
        <is>
          <t>Размерность</t>
        </is>
      </c>
      <c r="AR2" s="5" t="n"/>
      <c r="AS2" s="5" t="n"/>
      <c r="AT2" s="5" t="inlineStr">
        <is>
          <t>Δt</t>
        </is>
      </c>
      <c r="AU2" s="8" t="n">
        <v>5e-05</v>
      </c>
      <c r="AV2" s="9">
        <f>10*$AP$8/50</f>
        <v/>
      </c>
      <c r="AW2" s="5" t="n"/>
      <c r="AX2" s="5" t="n"/>
      <c r="AY2" s="5" t="n"/>
      <c r="AZ2" s="5" t="n"/>
      <c r="BA2" s="5" t="n"/>
      <c r="BB2" s="5" t="n"/>
      <c r="BC2" s="5" t="n"/>
    </row>
    <row r="3">
      <c r="A3" s="10" t="inlineStr">
        <is>
          <t>E</t>
        </is>
      </c>
      <c r="B3" s="11" t="n">
        <v>8</v>
      </c>
      <c r="C3" s="12" t="inlineStr">
        <is>
          <t>В</t>
        </is>
      </c>
      <c r="D3" s="5" t="n"/>
      <c r="E3" s="5" t="n"/>
      <c r="F3" s="5" t="inlineStr">
        <is>
          <t>шаг</t>
        </is>
      </c>
      <c r="G3" s="5" t="inlineStr">
        <is>
          <t>с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10" t="inlineStr">
        <is>
          <t>E</t>
        </is>
      </c>
      <c r="U3" s="11" t="n">
        <v>8</v>
      </c>
      <c r="V3" s="12" t="inlineStr">
        <is>
          <t>В</t>
        </is>
      </c>
      <c r="W3" s="5" t="n"/>
      <c r="X3" s="5" t="n"/>
      <c r="Y3" s="5" t="inlineStr">
        <is>
          <t>шаг</t>
        </is>
      </c>
      <c r="Z3" s="5" t="inlineStr">
        <is>
          <t>с</t>
        </is>
      </c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10" t="inlineStr">
        <is>
          <t>E</t>
        </is>
      </c>
      <c r="AP3" s="11" t="n">
        <v>8</v>
      </c>
      <c r="AQ3" s="12" t="inlineStr">
        <is>
          <t>В</t>
        </is>
      </c>
      <c r="AR3" s="5" t="n"/>
      <c r="AS3" s="5" t="n"/>
      <c r="AT3" s="5" t="inlineStr">
        <is>
          <t>шаг</t>
        </is>
      </c>
      <c r="AU3" s="5" t="inlineStr">
        <is>
          <t>с</t>
        </is>
      </c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10" t="inlineStr">
        <is>
          <t>r</t>
        </is>
      </c>
      <c r="B4" s="11" t="n">
        <v>9</v>
      </c>
      <c r="C4" s="12" t="inlineStr">
        <is>
          <t>Ом</t>
        </is>
      </c>
      <c r="D4" s="5" t="n"/>
      <c r="E4" s="5" t="n"/>
      <c r="F4" s="13" t="inlineStr">
        <is>
          <t>Заряд — ключ на E через r.
Разряд — контур L и R.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10" t="inlineStr">
        <is>
          <t>r</t>
        </is>
      </c>
      <c r="U4" s="11" t="n">
        <v>9</v>
      </c>
      <c r="V4" s="12" t="inlineStr">
        <is>
          <t>Ом</t>
        </is>
      </c>
      <c r="W4" s="5" t="n"/>
      <c r="X4" s="5" t="n"/>
      <c r="Y4" s="13" t="inlineStr">
        <is>
          <t>меньше L — быстрее нарастает ток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10" t="inlineStr">
        <is>
          <t>r</t>
        </is>
      </c>
      <c r="AP4" s="11" t="n">
        <v>4.5</v>
      </c>
      <c r="AQ4" s="12" t="inlineStr">
        <is>
          <t>Ом</t>
        </is>
      </c>
      <c r="AR4" s="5" t="n"/>
      <c r="AS4" s="5" t="n"/>
      <c r="AT4" s="13" t="inlineStr">
        <is>
          <t>меньше r — больше E/r,
разряд через R=12 Ом</t>
        </is>
      </c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10" t="inlineStr">
        <is>
          <t>R</t>
        </is>
      </c>
      <c r="B5" s="11" t="n">
        <v>120</v>
      </c>
      <c r="C5" s="12" t="inlineStr">
        <is>
          <t>Ом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10" t="inlineStr">
        <is>
          <t>R</t>
        </is>
      </c>
      <c r="U5" s="11" t="n">
        <v>120</v>
      </c>
      <c r="V5" s="12" t="inlineStr">
        <is>
          <t>Ом</t>
        </is>
      </c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10" t="inlineStr">
        <is>
          <t>R</t>
        </is>
      </c>
      <c r="AP5" s="11" t="n">
        <v>12</v>
      </c>
      <c r="AQ5" s="12" t="inlineStr">
        <is>
          <t>Ом</t>
        </is>
      </c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</row>
    <row r="6">
      <c r="A6" s="10" t="inlineStr">
        <is>
          <t>L</t>
        </is>
      </c>
      <c r="B6" s="14">
        <f>POWER(10,-4)*9</f>
        <v/>
      </c>
      <c r="C6" s="12" t="inlineStr">
        <is>
          <t>Гн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10" t="inlineStr">
        <is>
          <t>L</t>
        </is>
      </c>
      <c r="U6" s="14">
        <f>POWER(10,-4)*3</f>
        <v/>
      </c>
      <c r="V6" s="12" t="inlineStr">
        <is>
          <t>Гн</t>
        </is>
      </c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10" t="inlineStr">
        <is>
          <t>L</t>
        </is>
      </c>
      <c r="AP6" s="14">
        <f>POWER(10,-4)*9</f>
        <v/>
      </c>
      <c r="AQ6" s="12" t="inlineStr">
        <is>
          <t>Гн</t>
        </is>
      </c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</row>
    <row r="7">
      <c r="A7" s="15" t="inlineStr">
        <is>
          <t>Графики Excel — на первом листе «Графики» (не фото, ряды из ячеек).</t>
        </is>
      </c>
      <c r="B7" s="16" t="n"/>
      <c r="C7" s="16" t="n"/>
      <c r="D7" s="16" t="n"/>
      <c r="E7" s="17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18" t="inlineStr">
        <is>
          <t>τз = L/r</t>
        </is>
      </c>
      <c r="U7" s="19">
        <f>U6/U4</f>
        <v/>
      </c>
      <c r="V7" s="18" t="inlineStr">
        <is>
          <t>с</t>
        </is>
      </c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18" t="inlineStr">
        <is>
          <t>τз = L/r</t>
        </is>
      </c>
      <c r="AP7" s="19">
        <f>AP6/AP4</f>
        <v/>
      </c>
      <c r="AQ7" s="18" t="inlineStr">
        <is>
          <t>с</t>
        </is>
      </c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</row>
    <row r="8">
      <c r="A8" s="18" t="inlineStr">
        <is>
          <t>τр = L/R</t>
        </is>
      </c>
      <c r="B8" s="19">
        <f>B6/B5</f>
        <v/>
      </c>
      <c r="C8" s="18" t="inlineStr">
        <is>
          <t>с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18" t="inlineStr">
        <is>
          <t>τр = L/R</t>
        </is>
      </c>
      <c r="U8" s="19">
        <f>U6/U5</f>
        <v/>
      </c>
      <c r="V8" s="18" t="inlineStr">
        <is>
          <t>с</t>
        </is>
      </c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18" t="inlineStr">
        <is>
          <t>τр = L/R</t>
        </is>
      </c>
      <c r="AP8" s="19">
        <f>AP6/AP5</f>
        <v/>
      </c>
      <c r="AQ8" s="18" t="inlineStr">
        <is>
          <t>с</t>
        </is>
      </c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</row>
    <row r="9" ht="20" customHeight="1">
      <c r="A9" s="3" t="inlineStr">
        <is>
          <t>t, c</t>
        </is>
      </c>
      <c r="B9" s="6" t="inlineStr">
        <is>
          <t>Iз, А</t>
        </is>
      </c>
      <c r="C9" s="20" t="inlineStr">
        <is>
          <t>Uз, В</t>
        </is>
      </c>
      <c r="D9" s="7" t="inlineStr">
        <is>
          <t>Iр, А</t>
        </is>
      </c>
      <c r="E9" s="20" t="inlineStr">
        <is>
          <t>Uр, В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3" t="inlineStr">
        <is>
          <t>t, c</t>
        </is>
      </c>
      <c r="U9" s="6" t="inlineStr">
        <is>
          <t>Iз, А</t>
        </is>
      </c>
      <c r="V9" s="20" t="inlineStr">
        <is>
          <t>Uз, В</t>
        </is>
      </c>
      <c r="W9" s="7" t="inlineStr">
        <is>
          <t>Iр, А</t>
        </is>
      </c>
      <c r="X9" s="20" t="inlineStr">
        <is>
          <t>Uр, В</t>
        </is>
      </c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3" t="inlineStr">
        <is>
          <t>t, c</t>
        </is>
      </c>
      <c r="AP9" s="6" t="inlineStr">
        <is>
          <t>Iз, А</t>
        </is>
      </c>
      <c r="AQ9" s="20" t="inlineStr">
        <is>
          <t>Uз, В</t>
        </is>
      </c>
      <c r="AR9" s="7" t="inlineStr">
        <is>
          <t>Iр, А</t>
        </is>
      </c>
      <c r="AS9" s="20" t="inlineStr">
        <is>
          <t>Uр, В</t>
        </is>
      </c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</row>
    <row r="10">
      <c r="A10" s="21" t="n">
        <v>0</v>
      </c>
      <c r="B10" s="22">
        <f>($B$3/$B$4)*(1-EXP(-A10*$B$4/$B$6))</f>
        <v/>
      </c>
      <c r="C10" s="22">
        <f>$B$3*EXP(-A10*$B$4/$B$6)</f>
        <v/>
      </c>
      <c r="D10" s="23">
        <f>($B$3/$B$5)*EXP(-A10*$B$5/$B$6)</f>
        <v/>
      </c>
      <c r="E10" s="23">
        <f>-$B$3*EXP(-A10*$B$5/$B$6)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1" t="n">
        <v>0</v>
      </c>
      <c r="U10" s="22">
        <f>($U$3/$U$4)*(1-EXP(-T10*$U$4/$U$6))</f>
        <v/>
      </c>
      <c r="V10" s="22">
        <f>$U$3*EXP(-T10*$U$4/$U$6)</f>
        <v/>
      </c>
      <c r="W10" s="23">
        <f>($U$3/$U$5)*EXP(-T10*$U$5/$U$6)</f>
        <v/>
      </c>
      <c r="X10" s="23">
        <f>-$U$3*EXP(-T10*$U$5/$U$6)</f>
        <v/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21" t="n">
        <v>0</v>
      </c>
      <c r="AP10" s="22">
        <f>($AP$3/$AP$4)*(1-EXP(-AO10*$AP$4/$AP$6))</f>
        <v/>
      </c>
      <c r="AQ10" s="22">
        <f>$AP$3*EXP(-AO10*$AP$4/$AP$6)</f>
        <v/>
      </c>
      <c r="AR10" s="23">
        <f>($AP$3/$AP$5)*EXP(-AO10*$AP$5/$AP$6)</f>
        <v/>
      </c>
      <c r="AS10" s="23">
        <f>-$AP$3*EXP(-AO10*$AP$5/$AP$6)</f>
        <v/>
      </c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</row>
    <row r="11">
      <c r="A11" s="24">
        <f>A10+$G$2</f>
        <v/>
      </c>
      <c r="B11" s="25">
        <f>($B$3/$B$4)*(1-EXP(-A11*$B$4/$B$6))</f>
        <v/>
      </c>
      <c r="C11" s="25">
        <f>$B$3*EXP(-A11*$B$4/$B$6)</f>
        <v/>
      </c>
      <c r="D11" s="26">
        <f>($B$3/$B$5)*EXP(-A11*$B$5/$B$6)</f>
        <v/>
      </c>
      <c r="E11" s="26">
        <f>-$B$3*EXP(-A11*$B$5/$B$6)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4">
        <f>T10+$Z$2</f>
        <v/>
      </c>
      <c r="U11" s="25">
        <f>($U$3/$U$4)*(1-EXP(-T11*$U$4/$U$6))</f>
        <v/>
      </c>
      <c r="V11" s="25">
        <f>$U$3*EXP(-T11*$U$4/$U$6)</f>
        <v/>
      </c>
      <c r="W11" s="26">
        <f>($U$3/$U$5)*EXP(-T11*$U$5/$U$6)</f>
        <v/>
      </c>
      <c r="X11" s="26">
        <f>-$U$3*EXP(-T11*$U$5/$U$6)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24">
        <f>AO10+$AU$2</f>
        <v/>
      </c>
      <c r="AP11" s="25">
        <f>($AP$3/$AP$4)*(1-EXP(-AO11*$AP$4/$AP$6))</f>
        <v/>
      </c>
      <c r="AQ11" s="25">
        <f>$AP$3*EXP(-AO11*$AP$4/$AP$6)</f>
        <v/>
      </c>
      <c r="AR11" s="26">
        <f>($AP$3/$AP$5)*EXP(-AO11*$AP$5/$AP$6)</f>
        <v/>
      </c>
      <c r="AS11" s="26">
        <f>-$AP$3*EXP(-AO11*$AP$5/$AP$6)</f>
        <v/>
      </c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</row>
    <row r="12">
      <c r="A12" s="21">
        <f>A11+$G$2</f>
        <v/>
      </c>
      <c r="B12" s="22">
        <f>($B$3/$B$4)*(1-EXP(-A12*$B$4/$B$6))</f>
        <v/>
      </c>
      <c r="C12" s="22">
        <f>$B$3*EXP(-A12*$B$4/$B$6)</f>
        <v/>
      </c>
      <c r="D12" s="23">
        <f>($B$3/$B$5)*EXP(-A12*$B$5/$B$6)</f>
        <v/>
      </c>
      <c r="E12" s="23">
        <f>-$B$3*EXP(-A12*$B$5/$B$6)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1">
        <f>T11+$Z$2</f>
        <v/>
      </c>
      <c r="U12" s="22">
        <f>($U$3/$U$4)*(1-EXP(-T12*$U$4/$U$6))</f>
        <v/>
      </c>
      <c r="V12" s="22">
        <f>$U$3*EXP(-T12*$U$4/$U$6)</f>
        <v/>
      </c>
      <c r="W12" s="23">
        <f>($U$3/$U$5)*EXP(-T12*$U$5/$U$6)</f>
        <v/>
      </c>
      <c r="X12" s="23">
        <f>-$U$3*EXP(-T12*$U$5/$U$6)</f>
        <v/>
      </c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21">
        <f>AO11+$AU$2</f>
        <v/>
      </c>
      <c r="AP12" s="22">
        <f>($AP$3/$AP$4)*(1-EXP(-AO12*$AP$4/$AP$6))</f>
        <v/>
      </c>
      <c r="AQ12" s="22">
        <f>$AP$3*EXP(-AO12*$AP$4/$AP$6)</f>
        <v/>
      </c>
      <c r="AR12" s="23">
        <f>($AP$3/$AP$5)*EXP(-AO12*$AP$5/$AP$6)</f>
        <v/>
      </c>
      <c r="AS12" s="23">
        <f>-$AP$3*EXP(-AO12*$AP$5/$AP$6)</f>
        <v/>
      </c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</row>
    <row r="13">
      <c r="A13" s="24">
        <f>A12+$G$2</f>
        <v/>
      </c>
      <c r="B13" s="25">
        <f>($B$3/$B$4)*(1-EXP(-A13*$B$4/$B$6))</f>
        <v/>
      </c>
      <c r="C13" s="25">
        <f>$B$3*EXP(-A13*$B$4/$B$6)</f>
        <v/>
      </c>
      <c r="D13" s="26">
        <f>($B$3/$B$5)*EXP(-A13*$B$5/$B$6)</f>
        <v/>
      </c>
      <c r="E13" s="26">
        <f>-$B$3*EXP(-A13*$B$5/$B$6)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4">
        <f>T12+$Z$2</f>
        <v/>
      </c>
      <c r="U13" s="25">
        <f>($U$3/$U$4)*(1-EXP(-T13*$U$4/$U$6))</f>
        <v/>
      </c>
      <c r="V13" s="25">
        <f>$U$3*EXP(-T13*$U$4/$U$6)</f>
        <v/>
      </c>
      <c r="W13" s="26">
        <f>($U$3/$U$5)*EXP(-T13*$U$5/$U$6)</f>
        <v/>
      </c>
      <c r="X13" s="26">
        <f>-$U$3*EXP(-T13*$U$5/$U$6)</f>
        <v/>
      </c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24">
        <f>AO12+$AU$2</f>
        <v/>
      </c>
      <c r="AP13" s="25">
        <f>($AP$3/$AP$4)*(1-EXP(-AO13*$AP$4/$AP$6))</f>
        <v/>
      </c>
      <c r="AQ13" s="25">
        <f>$AP$3*EXP(-AO13*$AP$4/$AP$6)</f>
        <v/>
      </c>
      <c r="AR13" s="26">
        <f>($AP$3/$AP$5)*EXP(-AO13*$AP$5/$AP$6)</f>
        <v/>
      </c>
      <c r="AS13" s="26">
        <f>-$AP$3*EXP(-AO13*$AP$5/$AP$6)</f>
        <v/>
      </c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</row>
    <row r="14">
      <c r="A14" s="21">
        <f>A13+$G$2</f>
        <v/>
      </c>
      <c r="B14" s="22">
        <f>($B$3/$B$4)*(1-EXP(-A14*$B$4/$B$6))</f>
        <v/>
      </c>
      <c r="C14" s="22">
        <f>$B$3*EXP(-A14*$B$4/$B$6)</f>
        <v/>
      </c>
      <c r="D14" s="23">
        <f>($B$3/$B$5)*EXP(-A14*$B$5/$B$6)</f>
        <v/>
      </c>
      <c r="E14" s="23">
        <f>-$B$3*EXP(-A14*$B$5/$B$6)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1">
        <f>T13+$Z$2</f>
        <v/>
      </c>
      <c r="U14" s="22">
        <f>($U$3/$U$4)*(1-EXP(-T14*$U$4/$U$6))</f>
        <v/>
      </c>
      <c r="V14" s="22">
        <f>$U$3*EXP(-T14*$U$4/$U$6)</f>
        <v/>
      </c>
      <c r="W14" s="23">
        <f>($U$3/$U$5)*EXP(-T14*$U$5/$U$6)</f>
        <v/>
      </c>
      <c r="X14" s="23">
        <f>-$U$3*EXP(-T14*$U$5/$U$6)</f>
        <v/>
      </c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21">
        <f>AO13+$AU$2</f>
        <v/>
      </c>
      <c r="AP14" s="22">
        <f>($AP$3/$AP$4)*(1-EXP(-AO14*$AP$4/$AP$6))</f>
        <v/>
      </c>
      <c r="AQ14" s="22">
        <f>$AP$3*EXP(-AO14*$AP$4/$AP$6)</f>
        <v/>
      </c>
      <c r="AR14" s="23">
        <f>($AP$3/$AP$5)*EXP(-AO14*$AP$5/$AP$6)</f>
        <v/>
      </c>
      <c r="AS14" s="23">
        <f>-$AP$3*EXP(-AO14*$AP$5/$AP$6)</f>
        <v/>
      </c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</row>
    <row r="15">
      <c r="A15" s="24">
        <f>A14+$G$2</f>
        <v/>
      </c>
      <c r="B15" s="25">
        <f>($B$3/$B$4)*(1-EXP(-A15*$B$4/$B$6))</f>
        <v/>
      </c>
      <c r="C15" s="25">
        <f>$B$3*EXP(-A15*$B$4/$B$6)</f>
        <v/>
      </c>
      <c r="D15" s="26">
        <f>($B$3/$B$5)*EXP(-A15*$B$5/$B$6)</f>
        <v/>
      </c>
      <c r="E15" s="26">
        <f>-$B$3*EXP(-A15*$B$5/$B$6)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4">
        <f>T14+$Z$2</f>
        <v/>
      </c>
      <c r="U15" s="25">
        <f>($U$3/$U$4)*(1-EXP(-T15*$U$4/$U$6))</f>
        <v/>
      </c>
      <c r="V15" s="25">
        <f>$U$3*EXP(-T15*$U$4/$U$6)</f>
        <v/>
      </c>
      <c r="W15" s="26">
        <f>($U$3/$U$5)*EXP(-T15*$U$5/$U$6)</f>
        <v/>
      </c>
      <c r="X15" s="26">
        <f>-$U$3*EXP(-T15*$U$5/$U$6)</f>
        <v/>
      </c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24">
        <f>AO14+$AU$2</f>
        <v/>
      </c>
      <c r="AP15" s="25">
        <f>($AP$3/$AP$4)*(1-EXP(-AO15*$AP$4/$AP$6))</f>
        <v/>
      </c>
      <c r="AQ15" s="25">
        <f>$AP$3*EXP(-AO15*$AP$4/$AP$6)</f>
        <v/>
      </c>
      <c r="AR15" s="26">
        <f>($AP$3/$AP$5)*EXP(-AO15*$AP$5/$AP$6)</f>
        <v/>
      </c>
      <c r="AS15" s="26">
        <f>-$AP$3*EXP(-AO15*$AP$5/$AP$6)</f>
        <v/>
      </c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</row>
    <row r="16">
      <c r="A16" s="21">
        <f>A15+$G$2</f>
        <v/>
      </c>
      <c r="B16" s="22">
        <f>($B$3/$B$4)*(1-EXP(-A16*$B$4/$B$6))</f>
        <v/>
      </c>
      <c r="C16" s="22">
        <f>$B$3*EXP(-A16*$B$4/$B$6)</f>
        <v/>
      </c>
      <c r="D16" s="23">
        <f>($B$3/$B$5)*EXP(-A16*$B$5/$B$6)</f>
        <v/>
      </c>
      <c r="E16" s="23">
        <f>-$B$3*EXP(-A16*$B$5/$B$6)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1">
        <f>T15+$Z$2</f>
        <v/>
      </c>
      <c r="U16" s="22">
        <f>($U$3/$U$4)*(1-EXP(-T16*$U$4/$U$6))</f>
        <v/>
      </c>
      <c r="V16" s="22">
        <f>$U$3*EXP(-T16*$U$4/$U$6)</f>
        <v/>
      </c>
      <c r="W16" s="23">
        <f>($U$3/$U$5)*EXP(-T16*$U$5/$U$6)</f>
        <v/>
      </c>
      <c r="X16" s="23">
        <f>-$U$3*EXP(-T16*$U$5/$U$6)</f>
        <v/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21">
        <f>AO15+$AU$2</f>
        <v/>
      </c>
      <c r="AP16" s="22">
        <f>($AP$3/$AP$4)*(1-EXP(-AO16*$AP$4/$AP$6))</f>
        <v/>
      </c>
      <c r="AQ16" s="22">
        <f>$AP$3*EXP(-AO16*$AP$4/$AP$6)</f>
        <v/>
      </c>
      <c r="AR16" s="23">
        <f>($AP$3/$AP$5)*EXP(-AO16*$AP$5/$AP$6)</f>
        <v/>
      </c>
      <c r="AS16" s="23">
        <f>-$AP$3*EXP(-AO16*$AP$5/$AP$6)</f>
        <v/>
      </c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</row>
    <row r="17">
      <c r="A17" s="24">
        <f>A16+$G$2</f>
        <v/>
      </c>
      <c r="B17" s="25">
        <f>($B$3/$B$4)*(1-EXP(-A17*$B$4/$B$6))</f>
        <v/>
      </c>
      <c r="C17" s="25">
        <f>$B$3*EXP(-A17*$B$4/$B$6)</f>
        <v/>
      </c>
      <c r="D17" s="26">
        <f>($B$3/$B$5)*EXP(-A17*$B$5/$B$6)</f>
        <v/>
      </c>
      <c r="E17" s="26">
        <f>-$B$3*EXP(-A17*$B$5/$B$6)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24">
        <f>T16+$Z$2</f>
        <v/>
      </c>
      <c r="U17" s="25">
        <f>($U$3/$U$4)*(1-EXP(-T17*$U$4/$U$6))</f>
        <v/>
      </c>
      <c r="V17" s="25">
        <f>$U$3*EXP(-T17*$U$4/$U$6)</f>
        <v/>
      </c>
      <c r="W17" s="26">
        <f>($U$3/$U$5)*EXP(-T17*$U$5/$U$6)</f>
        <v/>
      </c>
      <c r="X17" s="26">
        <f>-$U$3*EXP(-T17*$U$5/$U$6)</f>
        <v/>
      </c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24">
        <f>AO16+$AU$2</f>
        <v/>
      </c>
      <c r="AP17" s="25">
        <f>($AP$3/$AP$4)*(1-EXP(-AO17*$AP$4/$AP$6))</f>
        <v/>
      </c>
      <c r="AQ17" s="25">
        <f>$AP$3*EXP(-AO17*$AP$4/$AP$6)</f>
        <v/>
      </c>
      <c r="AR17" s="26">
        <f>($AP$3/$AP$5)*EXP(-AO17*$AP$5/$AP$6)</f>
        <v/>
      </c>
      <c r="AS17" s="26">
        <f>-$AP$3*EXP(-AO17*$AP$5/$AP$6)</f>
        <v/>
      </c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</row>
    <row r="18">
      <c r="A18" s="21">
        <f>A17+$G$2</f>
        <v/>
      </c>
      <c r="B18" s="22">
        <f>($B$3/$B$4)*(1-EXP(-A18*$B$4/$B$6))</f>
        <v/>
      </c>
      <c r="C18" s="22">
        <f>$B$3*EXP(-A18*$B$4/$B$6)</f>
        <v/>
      </c>
      <c r="D18" s="23">
        <f>($B$3/$B$5)*EXP(-A18*$B$5/$B$6)</f>
        <v/>
      </c>
      <c r="E18" s="23">
        <f>-$B$3*EXP(-A18*$B$5/$B$6)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21">
        <f>T17+$Z$2</f>
        <v/>
      </c>
      <c r="U18" s="22">
        <f>($U$3/$U$4)*(1-EXP(-T18*$U$4/$U$6))</f>
        <v/>
      </c>
      <c r="V18" s="22">
        <f>$U$3*EXP(-T18*$U$4/$U$6)</f>
        <v/>
      </c>
      <c r="W18" s="23">
        <f>($U$3/$U$5)*EXP(-T18*$U$5/$U$6)</f>
        <v/>
      </c>
      <c r="X18" s="23">
        <f>-$U$3*EXP(-T18*$U$5/$U$6)</f>
        <v/>
      </c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21">
        <f>AO17+$AU$2</f>
        <v/>
      </c>
      <c r="AP18" s="22">
        <f>($AP$3/$AP$4)*(1-EXP(-AO18*$AP$4/$AP$6))</f>
        <v/>
      </c>
      <c r="AQ18" s="22">
        <f>$AP$3*EXP(-AO18*$AP$4/$AP$6)</f>
        <v/>
      </c>
      <c r="AR18" s="23">
        <f>($AP$3/$AP$5)*EXP(-AO18*$AP$5/$AP$6)</f>
        <v/>
      </c>
      <c r="AS18" s="23">
        <f>-$AP$3*EXP(-AO18*$AP$5/$AP$6)</f>
        <v/>
      </c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</row>
    <row r="19">
      <c r="A19" s="24">
        <f>A18+$G$2</f>
        <v/>
      </c>
      <c r="B19" s="25">
        <f>($B$3/$B$4)*(1-EXP(-A19*$B$4/$B$6))</f>
        <v/>
      </c>
      <c r="C19" s="25">
        <f>$B$3*EXP(-A19*$B$4/$B$6)</f>
        <v/>
      </c>
      <c r="D19" s="26">
        <f>($B$3/$B$5)*EXP(-A19*$B$5/$B$6)</f>
        <v/>
      </c>
      <c r="E19" s="26">
        <f>-$B$3*EXP(-A19*$B$5/$B$6)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24">
        <f>T18+$Z$2</f>
        <v/>
      </c>
      <c r="U19" s="25">
        <f>($U$3/$U$4)*(1-EXP(-T19*$U$4/$U$6))</f>
        <v/>
      </c>
      <c r="V19" s="25">
        <f>$U$3*EXP(-T19*$U$4/$U$6)</f>
        <v/>
      </c>
      <c r="W19" s="26">
        <f>($U$3/$U$5)*EXP(-T19*$U$5/$U$6)</f>
        <v/>
      </c>
      <c r="X19" s="26">
        <f>-$U$3*EXP(-T19*$U$5/$U$6)</f>
        <v/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24">
        <f>AO18+$AU$2</f>
        <v/>
      </c>
      <c r="AP19" s="25">
        <f>($AP$3/$AP$4)*(1-EXP(-AO19*$AP$4/$AP$6))</f>
        <v/>
      </c>
      <c r="AQ19" s="25">
        <f>$AP$3*EXP(-AO19*$AP$4/$AP$6)</f>
        <v/>
      </c>
      <c r="AR19" s="26">
        <f>($AP$3/$AP$5)*EXP(-AO19*$AP$5/$AP$6)</f>
        <v/>
      </c>
      <c r="AS19" s="26">
        <f>-$AP$3*EXP(-AO19*$AP$5/$AP$6)</f>
        <v/>
      </c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</row>
    <row r="20">
      <c r="A20" s="21">
        <f>A19+$G$2</f>
        <v/>
      </c>
      <c r="B20" s="22">
        <f>($B$3/$B$4)*(1-EXP(-A20*$B$4/$B$6))</f>
        <v/>
      </c>
      <c r="C20" s="22">
        <f>$B$3*EXP(-A20*$B$4/$B$6)</f>
        <v/>
      </c>
      <c r="D20" s="23">
        <f>($B$3/$B$5)*EXP(-A20*$B$5/$B$6)</f>
        <v/>
      </c>
      <c r="E20" s="23">
        <f>-$B$3*EXP(-A20*$B$5/$B$6)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21">
        <f>T19+$Z$2</f>
        <v/>
      </c>
      <c r="U20" s="22">
        <f>($U$3/$U$4)*(1-EXP(-T20*$U$4/$U$6))</f>
        <v/>
      </c>
      <c r="V20" s="22">
        <f>$U$3*EXP(-T20*$U$4/$U$6)</f>
        <v/>
      </c>
      <c r="W20" s="23">
        <f>($U$3/$U$5)*EXP(-T20*$U$5/$U$6)</f>
        <v/>
      </c>
      <c r="X20" s="23">
        <f>-$U$3*EXP(-T20*$U$5/$U$6)</f>
        <v/>
      </c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21">
        <f>AO19+$AU$2</f>
        <v/>
      </c>
      <c r="AP20" s="22">
        <f>($AP$3/$AP$4)*(1-EXP(-AO20*$AP$4/$AP$6))</f>
        <v/>
      </c>
      <c r="AQ20" s="22">
        <f>$AP$3*EXP(-AO20*$AP$4/$AP$6)</f>
        <v/>
      </c>
      <c r="AR20" s="23">
        <f>($AP$3/$AP$5)*EXP(-AO20*$AP$5/$AP$6)</f>
        <v/>
      </c>
      <c r="AS20" s="23">
        <f>-$AP$3*EXP(-AO20*$AP$5/$AP$6)</f>
        <v/>
      </c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</row>
    <row r="21">
      <c r="A21" s="24">
        <f>A20+$G$2</f>
        <v/>
      </c>
      <c r="B21" s="25">
        <f>($B$3/$B$4)*(1-EXP(-A21*$B$4/$B$6))</f>
        <v/>
      </c>
      <c r="C21" s="25">
        <f>$B$3*EXP(-A21*$B$4/$B$6)</f>
        <v/>
      </c>
      <c r="D21" s="26">
        <f>($B$3/$B$5)*EXP(-A21*$B$5/$B$6)</f>
        <v/>
      </c>
      <c r="E21" s="26">
        <f>-$B$3*EXP(-A21*$B$5/$B$6)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24">
        <f>T20+$Z$2</f>
        <v/>
      </c>
      <c r="U21" s="25">
        <f>($U$3/$U$4)*(1-EXP(-T21*$U$4/$U$6))</f>
        <v/>
      </c>
      <c r="V21" s="25">
        <f>$U$3*EXP(-T21*$U$4/$U$6)</f>
        <v/>
      </c>
      <c r="W21" s="26">
        <f>($U$3/$U$5)*EXP(-T21*$U$5/$U$6)</f>
        <v/>
      </c>
      <c r="X21" s="26">
        <f>-$U$3*EXP(-T21*$U$5/$U$6)</f>
        <v/>
      </c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24">
        <f>AO20+$AU$2</f>
        <v/>
      </c>
      <c r="AP21" s="25">
        <f>($AP$3/$AP$4)*(1-EXP(-AO21*$AP$4/$AP$6))</f>
        <v/>
      </c>
      <c r="AQ21" s="25">
        <f>$AP$3*EXP(-AO21*$AP$4/$AP$6)</f>
        <v/>
      </c>
      <c r="AR21" s="26">
        <f>($AP$3/$AP$5)*EXP(-AO21*$AP$5/$AP$6)</f>
        <v/>
      </c>
      <c r="AS21" s="26">
        <f>-$AP$3*EXP(-AO21*$AP$5/$AP$6)</f>
        <v/>
      </c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</row>
    <row r="22">
      <c r="A22" s="21">
        <f>A21+$G$2</f>
        <v/>
      </c>
      <c r="B22" s="22">
        <f>($B$3/$B$4)*(1-EXP(-A22*$B$4/$B$6))</f>
        <v/>
      </c>
      <c r="C22" s="22">
        <f>$B$3*EXP(-A22*$B$4/$B$6)</f>
        <v/>
      </c>
      <c r="D22" s="23">
        <f>($B$3/$B$5)*EXP(-A22*$B$5/$B$6)</f>
        <v/>
      </c>
      <c r="E22" s="23">
        <f>-$B$3*EXP(-A22*$B$5/$B$6)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21">
        <f>T21+$Z$2</f>
        <v/>
      </c>
      <c r="U22" s="22">
        <f>($U$3/$U$4)*(1-EXP(-T22*$U$4/$U$6))</f>
        <v/>
      </c>
      <c r="V22" s="22">
        <f>$U$3*EXP(-T22*$U$4/$U$6)</f>
        <v/>
      </c>
      <c r="W22" s="23">
        <f>($U$3/$U$5)*EXP(-T22*$U$5/$U$6)</f>
        <v/>
      </c>
      <c r="X22" s="23">
        <f>-$U$3*EXP(-T22*$U$5/$U$6)</f>
        <v/>
      </c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21">
        <f>AO21+$AU$2</f>
        <v/>
      </c>
      <c r="AP22" s="22">
        <f>($AP$3/$AP$4)*(1-EXP(-AO22*$AP$4/$AP$6))</f>
        <v/>
      </c>
      <c r="AQ22" s="22">
        <f>$AP$3*EXP(-AO22*$AP$4/$AP$6)</f>
        <v/>
      </c>
      <c r="AR22" s="23">
        <f>($AP$3/$AP$5)*EXP(-AO22*$AP$5/$AP$6)</f>
        <v/>
      </c>
      <c r="AS22" s="23">
        <f>-$AP$3*EXP(-AO22*$AP$5/$AP$6)</f>
        <v/>
      </c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</row>
    <row r="23">
      <c r="A23" s="24">
        <f>A22+$G$2</f>
        <v/>
      </c>
      <c r="B23" s="25">
        <f>($B$3/$B$4)*(1-EXP(-A23*$B$4/$B$6))</f>
        <v/>
      </c>
      <c r="C23" s="25">
        <f>$B$3*EXP(-A23*$B$4/$B$6)</f>
        <v/>
      </c>
      <c r="D23" s="26">
        <f>($B$3/$B$5)*EXP(-A23*$B$5/$B$6)</f>
        <v/>
      </c>
      <c r="E23" s="26">
        <f>-$B$3*EXP(-A23*$B$5/$B$6)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24">
        <f>T22+$Z$2</f>
        <v/>
      </c>
      <c r="U23" s="25">
        <f>($U$3/$U$4)*(1-EXP(-T23*$U$4/$U$6))</f>
        <v/>
      </c>
      <c r="V23" s="25">
        <f>$U$3*EXP(-T23*$U$4/$U$6)</f>
        <v/>
      </c>
      <c r="W23" s="26">
        <f>($U$3/$U$5)*EXP(-T23*$U$5/$U$6)</f>
        <v/>
      </c>
      <c r="X23" s="26">
        <f>-$U$3*EXP(-T23*$U$5/$U$6)</f>
        <v/>
      </c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24">
        <f>AO22+$AU$2</f>
        <v/>
      </c>
      <c r="AP23" s="25">
        <f>($AP$3/$AP$4)*(1-EXP(-AO23*$AP$4/$AP$6))</f>
        <v/>
      </c>
      <c r="AQ23" s="25">
        <f>$AP$3*EXP(-AO23*$AP$4/$AP$6)</f>
        <v/>
      </c>
      <c r="AR23" s="26">
        <f>($AP$3/$AP$5)*EXP(-AO23*$AP$5/$AP$6)</f>
        <v/>
      </c>
      <c r="AS23" s="26">
        <f>-$AP$3*EXP(-AO23*$AP$5/$AP$6)</f>
        <v/>
      </c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</row>
    <row r="24">
      <c r="A24" s="21">
        <f>A23+$G$2</f>
        <v/>
      </c>
      <c r="B24" s="22">
        <f>($B$3/$B$4)*(1-EXP(-A24*$B$4/$B$6))</f>
        <v/>
      </c>
      <c r="C24" s="22">
        <f>$B$3*EXP(-A24*$B$4/$B$6)</f>
        <v/>
      </c>
      <c r="D24" s="23">
        <f>($B$3/$B$5)*EXP(-A24*$B$5/$B$6)</f>
        <v/>
      </c>
      <c r="E24" s="23">
        <f>-$B$3*EXP(-A24*$B$5/$B$6)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21">
        <f>T23+$Z$2</f>
        <v/>
      </c>
      <c r="U24" s="22">
        <f>($U$3/$U$4)*(1-EXP(-T24*$U$4/$U$6))</f>
        <v/>
      </c>
      <c r="V24" s="22">
        <f>$U$3*EXP(-T24*$U$4/$U$6)</f>
        <v/>
      </c>
      <c r="W24" s="23">
        <f>($U$3/$U$5)*EXP(-T24*$U$5/$U$6)</f>
        <v/>
      </c>
      <c r="X24" s="23">
        <f>-$U$3*EXP(-T24*$U$5/$U$6)</f>
        <v/>
      </c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21">
        <f>AO23+$AU$2</f>
        <v/>
      </c>
      <c r="AP24" s="22">
        <f>($AP$3/$AP$4)*(1-EXP(-AO24*$AP$4/$AP$6))</f>
        <v/>
      </c>
      <c r="AQ24" s="22">
        <f>$AP$3*EXP(-AO24*$AP$4/$AP$6)</f>
        <v/>
      </c>
      <c r="AR24" s="23">
        <f>($AP$3/$AP$5)*EXP(-AO24*$AP$5/$AP$6)</f>
        <v/>
      </c>
      <c r="AS24" s="23">
        <f>-$AP$3*EXP(-AO24*$AP$5/$AP$6)</f>
        <v/>
      </c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</row>
    <row r="25">
      <c r="A25" s="24">
        <f>A24+$G$2</f>
        <v/>
      </c>
      <c r="B25" s="25">
        <f>($B$3/$B$4)*(1-EXP(-A25*$B$4/$B$6))</f>
        <v/>
      </c>
      <c r="C25" s="25">
        <f>$B$3*EXP(-A25*$B$4/$B$6)</f>
        <v/>
      </c>
      <c r="D25" s="26">
        <f>($B$3/$B$5)*EXP(-A25*$B$5/$B$6)</f>
        <v/>
      </c>
      <c r="E25" s="26">
        <f>-$B$3*EXP(-A25*$B$5/$B$6)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24">
        <f>T24+$Z$2</f>
        <v/>
      </c>
      <c r="U25" s="25">
        <f>($U$3/$U$4)*(1-EXP(-T25*$U$4/$U$6))</f>
        <v/>
      </c>
      <c r="V25" s="25">
        <f>$U$3*EXP(-T25*$U$4/$U$6)</f>
        <v/>
      </c>
      <c r="W25" s="26">
        <f>($U$3/$U$5)*EXP(-T25*$U$5/$U$6)</f>
        <v/>
      </c>
      <c r="X25" s="26">
        <f>-$U$3*EXP(-T25*$U$5/$U$6)</f>
        <v/>
      </c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24">
        <f>AO24+$AU$2</f>
        <v/>
      </c>
      <c r="AP25" s="25">
        <f>($AP$3/$AP$4)*(1-EXP(-AO25*$AP$4/$AP$6))</f>
        <v/>
      </c>
      <c r="AQ25" s="25">
        <f>$AP$3*EXP(-AO25*$AP$4/$AP$6)</f>
        <v/>
      </c>
      <c r="AR25" s="26">
        <f>($AP$3/$AP$5)*EXP(-AO25*$AP$5/$AP$6)</f>
        <v/>
      </c>
      <c r="AS25" s="26">
        <f>-$AP$3*EXP(-AO25*$AP$5/$AP$6)</f>
        <v/>
      </c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</row>
    <row r="26">
      <c r="A26" s="21">
        <f>A25+$G$2</f>
        <v/>
      </c>
      <c r="B26" s="22">
        <f>($B$3/$B$4)*(1-EXP(-A26*$B$4/$B$6))</f>
        <v/>
      </c>
      <c r="C26" s="22">
        <f>$B$3*EXP(-A26*$B$4/$B$6)</f>
        <v/>
      </c>
      <c r="D26" s="23">
        <f>($B$3/$B$5)*EXP(-A26*$B$5/$B$6)</f>
        <v/>
      </c>
      <c r="E26" s="23">
        <f>-$B$3*EXP(-A26*$B$5/$B$6)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21">
        <f>T25+$Z$2</f>
        <v/>
      </c>
      <c r="U26" s="22">
        <f>($U$3/$U$4)*(1-EXP(-T26*$U$4/$U$6))</f>
        <v/>
      </c>
      <c r="V26" s="22">
        <f>$U$3*EXP(-T26*$U$4/$U$6)</f>
        <v/>
      </c>
      <c r="W26" s="23">
        <f>($U$3/$U$5)*EXP(-T26*$U$5/$U$6)</f>
        <v/>
      </c>
      <c r="X26" s="23">
        <f>-$U$3*EXP(-T26*$U$5/$U$6)</f>
        <v/>
      </c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21">
        <f>AO25+$AU$2</f>
        <v/>
      </c>
      <c r="AP26" s="22">
        <f>($AP$3/$AP$4)*(1-EXP(-AO26*$AP$4/$AP$6))</f>
        <v/>
      </c>
      <c r="AQ26" s="22">
        <f>$AP$3*EXP(-AO26*$AP$4/$AP$6)</f>
        <v/>
      </c>
      <c r="AR26" s="23">
        <f>($AP$3/$AP$5)*EXP(-AO26*$AP$5/$AP$6)</f>
        <v/>
      </c>
      <c r="AS26" s="23">
        <f>-$AP$3*EXP(-AO26*$AP$5/$AP$6)</f>
        <v/>
      </c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</row>
    <row r="27">
      <c r="A27" s="24">
        <f>A26+$G$2</f>
        <v/>
      </c>
      <c r="B27" s="25">
        <f>($B$3/$B$4)*(1-EXP(-A27*$B$4/$B$6))</f>
        <v/>
      </c>
      <c r="C27" s="25">
        <f>$B$3*EXP(-A27*$B$4/$B$6)</f>
        <v/>
      </c>
      <c r="D27" s="26">
        <f>($B$3/$B$5)*EXP(-A27*$B$5/$B$6)</f>
        <v/>
      </c>
      <c r="E27" s="26">
        <f>-$B$3*EXP(-A27*$B$5/$B$6)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24">
        <f>T26+$Z$2</f>
        <v/>
      </c>
      <c r="U27" s="25">
        <f>($U$3/$U$4)*(1-EXP(-T27*$U$4/$U$6))</f>
        <v/>
      </c>
      <c r="V27" s="25">
        <f>$U$3*EXP(-T27*$U$4/$U$6)</f>
        <v/>
      </c>
      <c r="W27" s="26">
        <f>($U$3/$U$5)*EXP(-T27*$U$5/$U$6)</f>
        <v/>
      </c>
      <c r="X27" s="26">
        <f>-$U$3*EXP(-T27*$U$5/$U$6)</f>
        <v/>
      </c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24">
        <f>AO26+$AU$2</f>
        <v/>
      </c>
      <c r="AP27" s="25">
        <f>($AP$3/$AP$4)*(1-EXP(-AO27*$AP$4/$AP$6))</f>
        <v/>
      </c>
      <c r="AQ27" s="25">
        <f>$AP$3*EXP(-AO27*$AP$4/$AP$6)</f>
        <v/>
      </c>
      <c r="AR27" s="26">
        <f>($AP$3/$AP$5)*EXP(-AO27*$AP$5/$AP$6)</f>
        <v/>
      </c>
      <c r="AS27" s="26">
        <f>-$AP$3*EXP(-AO27*$AP$5/$AP$6)</f>
        <v/>
      </c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</row>
    <row r="28">
      <c r="A28" s="21">
        <f>A27+$G$2</f>
        <v/>
      </c>
      <c r="B28" s="22">
        <f>($B$3/$B$4)*(1-EXP(-A28*$B$4/$B$6))</f>
        <v/>
      </c>
      <c r="C28" s="22">
        <f>$B$3*EXP(-A28*$B$4/$B$6)</f>
        <v/>
      </c>
      <c r="D28" s="23">
        <f>($B$3/$B$5)*EXP(-A28*$B$5/$B$6)</f>
        <v/>
      </c>
      <c r="E28" s="23">
        <f>-$B$3*EXP(-A28*$B$5/$B$6)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21">
        <f>T27+$Z$2</f>
        <v/>
      </c>
      <c r="U28" s="22">
        <f>($U$3/$U$4)*(1-EXP(-T28*$U$4/$U$6))</f>
        <v/>
      </c>
      <c r="V28" s="22">
        <f>$U$3*EXP(-T28*$U$4/$U$6)</f>
        <v/>
      </c>
      <c r="W28" s="23">
        <f>($U$3/$U$5)*EXP(-T28*$U$5/$U$6)</f>
        <v/>
      </c>
      <c r="X28" s="23">
        <f>-$U$3*EXP(-T28*$U$5/$U$6)</f>
        <v/>
      </c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21">
        <f>AO27+$AU$2</f>
        <v/>
      </c>
      <c r="AP28" s="22">
        <f>($AP$3/$AP$4)*(1-EXP(-AO28*$AP$4/$AP$6))</f>
        <v/>
      </c>
      <c r="AQ28" s="22">
        <f>$AP$3*EXP(-AO28*$AP$4/$AP$6)</f>
        <v/>
      </c>
      <c r="AR28" s="23">
        <f>($AP$3/$AP$5)*EXP(-AO28*$AP$5/$AP$6)</f>
        <v/>
      </c>
      <c r="AS28" s="23">
        <f>-$AP$3*EXP(-AO28*$AP$5/$AP$6)</f>
        <v/>
      </c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</row>
    <row r="29">
      <c r="A29" s="24">
        <f>A28+$G$2</f>
        <v/>
      </c>
      <c r="B29" s="25">
        <f>($B$3/$B$4)*(1-EXP(-A29*$B$4/$B$6))</f>
        <v/>
      </c>
      <c r="C29" s="25">
        <f>$B$3*EXP(-A29*$B$4/$B$6)</f>
        <v/>
      </c>
      <c r="D29" s="26">
        <f>($B$3/$B$5)*EXP(-A29*$B$5/$B$6)</f>
        <v/>
      </c>
      <c r="E29" s="26">
        <f>-$B$3*EXP(-A29*$B$5/$B$6)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24">
        <f>T28+$Z$2</f>
        <v/>
      </c>
      <c r="U29" s="25">
        <f>($U$3/$U$4)*(1-EXP(-T29*$U$4/$U$6))</f>
        <v/>
      </c>
      <c r="V29" s="25">
        <f>$U$3*EXP(-T29*$U$4/$U$6)</f>
        <v/>
      </c>
      <c r="W29" s="26">
        <f>($U$3/$U$5)*EXP(-T29*$U$5/$U$6)</f>
        <v/>
      </c>
      <c r="X29" s="26">
        <f>-$U$3*EXP(-T29*$U$5/$U$6)</f>
        <v/>
      </c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24">
        <f>AO28+$AU$2</f>
        <v/>
      </c>
      <c r="AP29" s="25">
        <f>($AP$3/$AP$4)*(1-EXP(-AO29*$AP$4/$AP$6))</f>
        <v/>
      </c>
      <c r="AQ29" s="25">
        <f>$AP$3*EXP(-AO29*$AP$4/$AP$6)</f>
        <v/>
      </c>
      <c r="AR29" s="26">
        <f>($AP$3/$AP$5)*EXP(-AO29*$AP$5/$AP$6)</f>
        <v/>
      </c>
      <c r="AS29" s="26">
        <f>-$AP$3*EXP(-AO29*$AP$5/$AP$6)</f>
        <v/>
      </c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</row>
    <row r="30">
      <c r="A30" s="21">
        <f>A29+$G$2</f>
        <v/>
      </c>
      <c r="B30" s="22">
        <f>($B$3/$B$4)*(1-EXP(-A30*$B$4/$B$6))</f>
        <v/>
      </c>
      <c r="C30" s="22">
        <f>$B$3*EXP(-A30*$B$4/$B$6)</f>
        <v/>
      </c>
      <c r="D30" s="23">
        <f>($B$3/$B$5)*EXP(-A30*$B$5/$B$6)</f>
        <v/>
      </c>
      <c r="E30" s="23">
        <f>-$B$3*EXP(-A30*$B$5/$B$6)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21">
        <f>T29+$Z$2</f>
        <v/>
      </c>
      <c r="U30" s="22">
        <f>($U$3/$U$4)*(1-EXP(-T30*$U$4/$U$6))</f>
        <v/>
      </c>
      <c r="V30" s="22">
        <f>$U$3*EXP(-T30*$U$4/$U$6)</f>
        <v/>
      </c>
      <c r="W30" s="23">
        <f>($U$3/$U$5)*EXP(-T30*$U$5/$U$6)</f>
        <v/>
      </c>
      <c r="X30" s="23">
        <f>-$U$3*EXP(-T30*$U$5/$U$6)</f>
        <v/>
      </c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21">
        <f>AO29+$AU$2</f>
        <v/>
      </c>
      <c r="AP30" s="22">
        <f>($AP$3/$AP$4)*(1-EXP(-AO30*$AP$4/$AP$6))</f>
        <v/>
      </c>
      <c r="AQ30" s="22">
        <f>$AP$3*EXP(-AO30*$AP$4/$AP$6)</f>
        <v/>
      </c>
      <c r="AR30" s="23">
        <f>($AP$3/$AP$5)*EXP(-AO30*$AP$5/$AP$6)</f>
        <v/>
      </c>
      <c r="AS30" s="23">
        <f>-$AP$3*EXP(-AO30*$AP$5/$AP$6)</f>
        <v/>
      </c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</row>
    <row r="31">
      <c r="A31" s="24">
        <f>A30+$G$2</f>
        <v/>
      </c>
      <c r="B31" s="25">
        <f>($B$3/$B$4)*(1-EXP(-A31*$B$4/$B$6))</f>
        <v/>
      </c>
      <c r="C31" s="25">
        <f>$B$3*EXP(-A31*$B$4/$B$6)</f>
        <v/>
      </c>
      <c r="D31" s="26">
        <f>($B$3/$B$5)*EXP(-A31*$B$5/$B$6)</f>
        <v/>
      </c>
      <c r="E31" s="26">
        <f>-$B$3*EXP(-A31*$B$5/$B$6)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24">
        <f>T30+$Z$2</f>
        <v/>
      </c>
      <c r="U31" s="25">
        <f>($U$3/$U$4)*(1-EXP(-T31*$U$4/$U$6))</f>
        <v/>
      </c>
      <c r="V31" s="25">
        <f>$U$3*EXP(-T31*$U$4/$U$6)</f>
        <v/>
      </c>
      <c r="W31" s="26">
        <f>($U$3/$U$5)*EXP(-T31*$U$5/$U$6)</f>
        <v/>
      </c>
      <c r="X31" s="26">
        <f>-$U$3*EXP(-T31*$U$5/$U$6)</f>
        <v/>
      </c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24">
        <f>AO30+$AU$2</f>
        <v/>
      </c>
      <c r="AP31" s="25">
        <f>($AP$3/$AP$4)*(1-EXP(-AO31*$AP$4/$AP$6))</f>
        <v/>
      </c>
      <c r="AQ31" s="25">
        <f>$AP$3*EXP(-AO31*$AP$4/$AP$6)</f>
        <v/>
      </c>
      <c r="AR31" s="26">
        <f>($AP$3/$AP$5)*EXP(-AO31*$AP$5/$AP$6)</f>
        <v/>
      </c>
      <c r="AS31" s="26">
        <f>-$AP$3*EXP(-AO31*$AP$5/$AP$6)</f>
        <v/>
      </c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</row>
    <row r="32">
      <c r="A32" s="21">
        <f>A31+$G$2</f>
        <v/>
      </c>
      <c r="B32" s="22">
        <f>($B$3/$B$4)*(1-EXP(-A32*$B$4/$B$6))</f>
        <v/>
      </c>
      <c r="C32" s="22">
        <f>$B$3*EXP(-A32*$B$4/$B$6)</f>
        <v/>
      </c>
      <c r="D32" s="23">
        <f>($B$3/$B$5)*EXP(-A32*$B$5/$B$6)</f>
        <v/>
      </c>
      <c r="E32" s="23">
        <f>-$B$3*EXP(-A32*$B$5/$B$6)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21">
        <f>T31+$Z$2</f>
        <v/>
      </c>
      <c r="U32" s="22">
        <f>($U$3/$U$4)*(1-EXP(-T32*$U$4/$U$6))</f>
        <v/>
      </c>
      <c r="V32" s="22">
        <f>$U$3*EXP(-T32*$U$4/$U$6)</f>
        <v/>
      </c>
      <c r="W32" s="23">
        <f>($U$3/$U$5)*EXP(-T32*$U$5/$U$6)</f>
        <v/>
      </c>
      <c r="X32" s="23">
        <f>-$U$3*EXP(-T32*$U$5/$U$6)</f>
        <v/>
      </c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21">
        <f>AO31+$AU$2</f>
        <v/>
      </c>
      <c r="AP32" s="22">
        <f>($AP$3/$AP$4)*(1-EXP(-AO32*$AP$4/$AP$6))</f>
        <v/>
      </c>
      <c r="AQ32" s="22">
        <f>$AP$3*EXP(-AO32*$AP$4/$AP$6)</f>
        <v/>
      </c>
      <c r="AR32" s="23">
        <f>($AP$3/$AP$5)*EXP(-AO32*$AP$5/$AP$6)</f>
        <v/>
      </c>
      <c r="AS32" s="23">
        <f>-$AP$3*EXP(-AO32*$AP$5/$AP$6)</f>
        <v/>
      </c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</row>
    <row r="33">
      <c r="A33" s="24">
        <f>A32+$G$2</f>
        <v/>
      </c>
      <c r="B33" s="25">
        <f>($B$3/$B$4)*(1-EXP(-A33*$B$4/$B$6))</f>
        <v/>
      </c>
      <c r="C33" s="25">
        <f>$B$3*EXP(-A33*$B$4/$B$6)</f>
        <v/>
      </c>
      <c r="D33" s="26">
        <f>($B$3/$B$5)*EXP(-A33*$B$5/$B$6)</f>
        <v/>
      </c>
      <c r="E33" s="26">
        <f>-$B$3*EXP(-A33*$B$5/$B$6)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24">
        <f>T32+$Z$2</f>
        <v/>
      </c>
      <c r="U33" s="25">
        <f>($U$3/$U$4)*(1-EXP(-T33*$U$4/$U$6))</f>
        <v/>
      </c>
      <c r="V33" s="25">
        <f>$U$3*EXP(-T33*$U$4/$U$6)</f>
        <v/>
      </c>
      <c r="W33" s="26">
        <f>($U$3/$U$5)*EXP(-T33*$U$5/$U$6)</f>
        <v/>
      </c>
      <c r="X33" s="26">
        <f>-$U$3*EXP(-T33*$U$5/$U$6)</f>
        <v/>
      </c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24">
        <f>AO32+$AU$2</f>
        <v/>
      </c>
      <c r="AP33" s="25">
        <f>($AP$3/$AP$4)*(1-EXP(-AO33*$AP$4/$AP$6))</f>
        <v/>
      </c>
      <c r="AQ33" s="25">
        <f>$AP$3*EXP(-AO33*$AP$4/$AP$6)</f>
        <v/>
      </c>
      <c r="AR33" s="26">
        <f>($AP$3/$AP$5)*EXP(-AO33*$AP$5/$AP$6)</f>
        <v/>
      </c>
      <c r="AS33" s="26">
        <f>-$AP$3*EXP(-AO33*$AP$5/$AP$6)</f>
        <v/>
      </c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</row>
    <row r="34">
      <c r="A34" s="21">
        <f>A33+$G$2</f>
        <v/>
      </c>
      <c r="B34" s="22">
        <f>($B$3/$B$4)*(1-EXP(-A34*$B$4/$B$6))</f>
        <v/>
      </c>
      <c r="C34" s="22">
        <f>$B$3*EXP(-A34*$B$4/$B$6)</f>
        <v/>
      </c>
      <c r="D34" s="23">
        <f>($B$3/$B$5)*EXP(-A34*$B$5/$B$6)</f>
        <v/>
      </c>
      <c r="E34" s="23">
        <f>-$B$3*EXP(-A34*$B$5/$B$6)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21">
        <f>T33+$Z$2</f>
        <v/>
      </c>
      <c r="U34" s="22">
        <f>($U$3/$U$4)*(1-EXP(-T34*$U$4/$U$6))</f>
        <v/>
      </c>
      <c r="V34" s="22">
        <f>$U$3*EXP(-T34*$U$4/$U$6)</f>
        <v/>
      </c>
      <c r="W34" s="23">
        <f>($U$3/$U$5)*EXP(-T34*$U$5/$U$6)</f>
        <v/>
      </c>
      <c r="X34" s="23">
        <f>-$U$3*EXP(-T34*$U$5/$U$6)</f>
        <v/>
      </c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21">
        <f>AO33+$AU$2</f>
        <v/>
      </c>
      <c r="AP34" s="22">
        <f>($AP$3/$AP$4)*(1-EXP(-AO34*$AP$4/$AP$6))</f>
        <v/>
      </c>
      <c r="AQ34" s="22">
        <f>$AP$3*EXP(-AO34*$AP$4/$AP$6)</f>
        <v/>
      </c>
      <c r="AR34" s="23">
        <f>($AP$3/$AP$5)*EXP(-AO34*$AP$5/$AP$6)</f>
        <v/>
      </c>
      <c r="AS34" s="23">
        <f>-$AP$3*EXP(-AO34*$AP$5/$AP$6)</f>
        <v/>
      </c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</row>
    <row r="35">
      <c r="A35" s="24">
        <f>A34+$G$2</f>
        <v/>
      </c>
      <c r="B35" s="25">
        <f>($B$3/$B$4)*(1-EXP(-A35*$B$4/$B$6))</f>
        <v/>
      </c>
      <c r="C35" s="25">
        <f>$B$3*EXP(-A35*$B$4/$B$6)</f>
        <v/>
      </c>
      <c r="D35" s="26">
        <f>($B$3/$B$5)*EXP(-A35*$B$5/$B$6)</f>
        <v/>
      </c>
      <c r="E35" s="26">
        <f>-$B$3*EXP(-A35*$B$5/$B$6)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24">
        <f>T34+$Z$2</f>
        <v/>
      </c>
      <c r="U35" s="25">
        <f>($U$3/$U$4)*(1-EXP(-T35*$U$4/$U$6))</f>
        <v/>
      </c>
      <c r="V35" s="25">
        <f>$U$3*EXP(-T35*$U$4/$U$6)</f>
        <v/>
      </c>
      <c r="W35" s="26">
        <f>($U$3/$U$5)*EXP(-T35*$U$5/$U$6)</f>
        <v/>
      </c>
      <c r="X35" s="26">
        <f>-$U$3*EXP(-T35*$U$5/$U$6)</f>
        <v/>
      </c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24">
        <f>AO34+$AU$2</f>
        <v/>
      </c>
      <c r="AP35" s="25">
        <f>($AP$3/$AP$4)*(1-EXP(-AO35*$AP$4/$AP$6))</f>
        <v/>
      </c>
      <c r="AQ35" s="25">
        <f>$AP$3*EXP(-AO35*$AP$4/$AP$6)</f>
        <v/>
      </c>
      <c r="AR35" s="26">
        <f>($AP$3/$AP$5)*EXP(-AO35*$AP$5/$AP$6)</f>
        <v/>
      </c>
      <c r="AS35" s="26">
        <f>-$AP$3*EXP(-AO35*$AP$5/$AP$6)</f>
        <v/>
      </c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</row>
    <row r="36">
      <c r="A36" s="21">
        <f>A35+$G$2</f>
        <v/>
      </c>
      <c r="B36" s="22">
        <f>($B$3/$B$4)*(1-EXP(-A36*$B$4/$B$6))</f>
        <v/>
      </c>
      <c r="C36" s="22">
        <f>$B$3*EXP(-A36*$B$4/$B$6)</f>
        <v/>
      </c>
      <c r="D36" s="23">
        <f>($B$3/$B$5)*EXP(-A36*$B$5/$B$6)</f>
        <v/>
      </c>
      <c r="E36" s="23">
        <f>-$B$3*EXP(-A36*$B$5/$B$6)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21">
        <f>T35+$Z$2</f>
        <v/>
      </c>
      <c r="U36" s="22">
        <f>($U$3/$U$4)*(1-EXP(-T36*$U$4/$U$6))</f>
        <v/>
      </c>
      <c r="V36" s="22">
        <f>$U$3*EXP(-T36*$U$4/$U$6)</f>
        <v/>
      </c>
      <c r="W36" s="23">
        <f>($U$3/$U$5)*EXP(-T36*$U$5/$U$6)</f>
        <v/>
      </c>
      <c r="X36" s="23">
        <f>-$U$3*EXP(-T36*$U$5/$U$6)</f>
        <v/>
      </c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21">
        <f>AO35+$AU$2</f>
        <v/>
      </c>
      <c r="AP36" s="22">
        <f>($AP$3/$AP$4)*(1-EXP(-AO36*$AP$4/$AP$6))</f>
        <v/>
      </c>
      <c r="AQ36" s="22">
        <f>$AP$3*EXP(-AO36*$AP$4/$AP$6)</f>
        <v/>
      </c>
      <c r="AR36" s="23">
        <f>($AP$3/$AP$5)*EXP(-AO36*$AP$5/$AP$6)</f>
        <v/>
      </c>
      <c r="AS36" s="23">
        <f>-$AP$3*EXP(-AO36*$AP$5/$AP$6)</f>
        <v/>
      </c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</row>
    <row r="37">
      <c r="A37" s="24">
        <f>A36+$G$2</f>
        <v/>
      </c>
      <c r="B37" s="25">
        <f>($B$3/$B$4)*(1-EXP(-A37*$B$4/$B$6))</f>
        <v/>
      </c>
      <c r="C37" s="25">
        <f>$B$3*EXP(-A37*$B$4/$B$6)</f>
        <v/>
      </c>
      <c r="D37" s="26">
        <f>($B$3/$B$5)*EXP(-A37*$B$5/$B$6)</f>
        <v/>
      </c>
      <c r="E37" s="26">
        <f>-$B$3*EXP(-A37*$B$5/$B$6)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24">
        <f>T36+$Z$2</f>
        <v/>
      </c>
      <c r="U37" s="25">
        <f>($U$3/$U$4)*(1-EXP(-T37*$U$4/$U$6))</f>
        <v/>
      </c>
      <c r="V37" s="25">
        <f>$U$3*EXP(-T37*$U$4/$U$6)</f>
        <v/>
      </c>
      <c r="W37" s="26">
        <f>($U$3/$U$5)*EXP(-T37*$U$5/$U$6)</f>
        <v/>
      </c>
      <c r="X37" s="26">
        <f>-$U$3*EXP(-T37*$U$5/$U$6)</f>
        <v/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24">
        <f>AO36+$AU$2</f>
        <v/>
      </c>
      <c r="AP37" s="25">
        <f>($AP$3/$AP$4)*(1-EXP(-AO37*$AP$4/$AP$6))</f>
        <v/>
      </c>
      <c r="AQ37" s="25">
        <f>$AP$3*EXP(-AO37*$AP$4/$AP$6)</f>
        <v/>
      </c>
      <c r="AR37" s="26">
        <f>($AP$3/$AP$5)*EXP(-AO37*$AP$5/$AP$6)</f>
        <v/>
      </c>
      <c r="AS37" s="26">
        <f>-$AP$3*EXP(-AO37*$AP$5/$AP$6)</f>
        <v/>
      </c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</row>
    <row r="38">
      <c r="A38" s="21">
        <f>A37+$G$2</f>
        <v/>
      </c>
      <c r="B38" s="22">
        <f>($B$3/$B$4)*(1-EXP(-A38*$B$4/$B$6))</f>
        <v/>
      </c>
      <c r="C38" s="22">
        <f>$B$3*EXP(-A38*$B$4/$B$6)</f>
        <v/>
      </c>
      <c r="D38" s="23">
        <f>($B$3/$B$5)*EXP(-A38*$B$5/$B$6)</f>
        <v/>
      </c>
      <c r="E38" s="23">
        <f>-$B$3*EXP(-A38*$B$5/$B$6)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21">
        <f>T37+$Z$2</f>
        <v/>
      </c>
      <c r="U38" s="22">
        <f>($U$3/$U$4)*(1-EXP(-T38*$U$4/$U$6))</f>
        <v/>
      </c>
      <c r="V38" s="22">
        <f>$U$3*EXP(-T38*$U$4/$U$6)</f>
        <v/>
      </c>
      <c r="W38" s="23">
        <f>($U$3/$U$5)*EXP(-T38*$U$5/$U$6)</f>
        <v/>
      </c>
      <c r="X38" s="23">
        <f>-$U$3*EXP(-T38*$U$5/$U$6)</f>
        <v/>
      </c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21">
        <f>AO37+$AU$2</f>
        <v/>
      </c>
      <c r="AP38" s="22">
        <f>($AP$3/$AP$4)*(1-EXP(-AO38*$AP$4/$AP$6))</f>
        <v/>
      </c>
      <c r="AQ38" s="22">
        <f>$AP$3*EXP(-AO38*$AP$4/$AP$6)</f>
        <v/>
      </c>
      <c r="AR38" s="23">
        <f>($AP$3/$AP$5)*EXP(-AO38*$AP$5/$AP$6)</f>
        <v/>
      </c>
      <c r="AS38" s="23">
        <f>-$AP$3*EXP(-AO38*$AP$5/$AP$6)</f>
        <v/>
      </c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</row>
    <row r="39">
      <c r="A39" s="24">
        <f>A38+$G$2</f>
        <v/>
      </c>
      <c r="B39" s="25">
        <f>($B$3/$B$4)*(1-EXP(-A39*$B$4/$B$6))</f>
        <v/>
      </c>
      <c r="C39" s="25">
        <f>$B$3*EXP(-A39*$B$4/$B$6)</f>
        <v/>
      </c>
      <c r="D39" s="26">
        <f>($B$3/$B$5)*EXP(-A39*$B$5/$B$6)</f>
        <v/>
      </c>
      <c r="E39" s="26">
        <f>-$B$3*EXP(-A39*$B$5/$B$6)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24">
        <f>T38+$Z$2</f>
        <v/>
      </c>
      <c r="U39" s="25">
        <f>($U$3/$U$4)*(1-EXP(-T39*$U$4/$U$6))</f>
        <v/>
      </c>
      <c r="V39" s="25">
        <f>$U$3*EXP(-T39*$U$4/$U$6)</f>
        <v/>
      </c>
      <c r="W39" s="26">
        <f>($U$3/$U$5)*EXP(-T39*$U$5/$U$6)</f>
        <v/>
      </c>
      <c r="X39" s="26">
        <f>-$U$3*EXP(-T39*$U$5/$U$6)</f>
        <v/>
      </c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24">
        <f>AO38+$AU$2</f>
        <v/>
      </c>
      <c r="AP39" s="25">
        <f>($AP$3/$AP$4)*(1-EXP(-AO39*$AP$4/$AP$6))</f>
        <v/>
      </c>
      <c r="AQ39" s="25">
        <f>$AP$3*EXP(-AO39*$AP$4/$AP$6)</f>
        <v/>
      </c>
      <c r="AR39" s="26">
        <f>($AP$3/$AP$5)*EXP(-AO39*$AP$5/$AP$6)</f>
        <v/>
      </c>
      <c r="AS39" s="26">
        <f>-$AP$3*EXP(-AO39*$AP$5/$AP$6)</f>
        <v/>
      </c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</row>
    <row r="40">
      <c r="A40" s="21">
        <f>A39+$G$2</f>
        <v/>
      </c>
      <c r="B40" s="22">
        <f>($B$3/$B$4)*(1-EXP(-A40*$B$4/$B$6))</f>
        <v/>
      </c>
      <c r="C40" s="22">
        <f>$B$3*EXP(-A40*$B$4/$B$6)</f>
        <v/>
      </c>
      <c r="D40" s="23">
        <f>($B$3/$B$5)*EXP(-A40*$B$5/$B$6)</f>
        <v/>
      </c>
      <c r="E40" s="23">
        <f>-$B$3*EXP(-A40*$B$5/$B$6)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21">
        <f>T39+$Z$2</f>
        <v/>
      </c>
      <c r="U40" s="22">
        <f>($U$3/$U$4)*(1-EXP(-T40*$U$4/$U$6))</f>
        <v/>
      </c>
      <c r="V40" s="22">
        <f>$U$3*EXP(-T40*$U$4/$U$6)</f>
        <v/>
      </c>
      <c r="W40" s="23">
        <f>($U$3/$U$5)*EXP(-T40*$U$5/$U$6)</f>
        <v/>
      </c>
      <c r="X40" s="23">
        <f>-$U$3*EXP(-T40*$U$5/$U$6)</f>
        <v/>
      </c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21">
        <f>AO39+$AU$2</f>
        <v/>
      </c>
      <c r="AP40" s="22">
        <f>($AP$3/$AP$4)*(1-EXP(-AO40*$AP$4/$AP$6))</f>
        <v/>
      </c>
      <c r="AQ40" s="22">
        <f>$AP$3*EXP(-AO40*$AP$4/$AP$6)</f>
        <v/>
      </c>
      <c r="AR40" s="23">
        <f>($AP$3/$AP$5)*EXP(-AO40*$AP$5/$AP$6)</f>
        <v/>
      </c>
      <c r="AS40" s="23">
        <f>-$AP$3*EXP(-AO40*$AP$5/$AP$6)</f>
        <v/>
      </c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</row>
    <row r="41">
      <c r="A41" s="24">
        <f>A40+$G$2</f>
        <v/>
      </c>
      <c r="B41" s="25">
        <f>($B$3/$B$4)*(1-EXP(-A41*$B$4/$B$6))</f>
        <v/>
      </c>
      <c r="C41" s="25">
        <f>$B$3*EXP(-A41*$B$4/$B$6)</f>
        <v/>
      </c>
      <c r="D41" s="26">
        <f>($B$3/$B$5)*EXP(-A41*$B$5/$B$6)</f>
        <v/>
      </c>
      <c r="E41" s="26">
        <f>-$B$3*EXP(-A41*$B$5/$B$6)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24">
        <f>T40+$Z$2</f>
        <v/>
      </c>
      <c r="U41" s="25">
        <f>($U$3/$U$4)*(1-EXP(-T41*$U$4/$U$6))</f>
        <v/>
      </c>
      <c r="V41" s="25">
        <f>$U$3*EXP(-T41*$U$4/$U$6)</f>
        <v/>
      </c>
      <c r="W41" s="26">
        <f>($U$3/$U$5)*EXP(-T41*$U$5/$U$6)</f>
        <v/>
      </c>
      <c r="X41" s="26">
        <f>-$U$3*EXP(-T41*$U$5/$U$6)</f>
        <v/>
      </c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24">
        <f>AO40+$AU$2</f>
        <v/>
      </c>
      <c r="AP41" s="25">
        <f>($AP$3/$AP$4)*(1-EXP(-AO41*$AP$4/$AP$6))</f>
        <v/>
      </c>
      <c r="AQ41" s="25">
        <f>$AP$3*EXP(-AO41*$AP$4/$AP$6)</f>
        <v/>
      </c>
      <c r="AR41" s="26">
        <f>($AP$3/$AP$5)*EXP(-AO41*$AP$5/$AP$6)</f>
        <v/>
      </c>
      <c r="AS41" s="26">
        <f>-$AP$3*EXP(-AO41*$AP$5/$AP$6)</f>
        <v/>
      </c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</row>
    <row r="42">
      <c r="A42" s="21">
        <f>A41+$G$2</f>
        <v/>
      </c>
      <c r="B42" s="22">
        <f>($B$3/$B$4)*(1-EXP(-A42*$B$4/$B$6))</f>
        <v/>
      </c>
      <c r="C42" s="22">
        <f>$B$3*EXP(-A42*$B$4/$B$6)</f>
        <v/>
      </c>
      <c r="D42" s="23">
        <f>($B$3/$B$5)*EXP(-A42*$B$5/$B$6)</f>
        <v/>
      </c>
      <c r="E42" s="23">
        <f>-$B$3*EXP(-A42*$B$5/$B$6)</f>
        <v/>
      </c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21">
        <f>T41+$Z$2</f>
        <v/>
      </c>
      <c r="U42" s="22">
        <f>($U$3/$U$4)*(1-EXP(-T42*$U$4/$U$6))</f>
        <v/>
      </c>
      <c r="V42" s="22">
        <f>$U$3*EXP(-T42*$U$4/$U$6)</f>
        <v/>
      </c>
      <c r="W42" s="23">
        <f>($U$3/$U$5)*EXP(-T42*$U$5/$U$6)</f>
        <v/>
      </c>
      <c r="X42" s="23">
        <f>-$U$3*EXP(-T42*$U$5/$U$6)</f>
        <v/>
      </c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21">
        <f>AO41+$AU$2</f>
        <v/>
      </c>
      <c r="AP42" s="22">
        <f>($AP$3/$AP$4)*(1-EXP(-AO42*$AP$4/$AP$6))</f>
        <v/>
      </c>
      <c r="AQ42" s="22">
        <f>$AP$3*EXP(-AO42*$AP$4/$AP$6)</f>
        <v/>
      </c>
      <c r="AR42" s="23">
        <f>($AP$3/$AP$5)*EXP(-AO42*$AP$5/$AP$6)</f>
        <v/>
      </c>
      <c r="AS42" s="23">
        <f>-$AP$3*EXP(-AO42*$AP$5/$AP$6)</f>
        <v/>
      </c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</row>
    <row r="43">
      <c r="A43" s="24">
        <f>A42+$G$2</f>
        <v/>
      </c>
      <c r="B43" s="25">
        <f>($B$3/$B$4)*(1-EXP(-A43*$B$4/$B$6))</f>
        <v/>
      </c>
      <c r="C43" s="25">
        <f>$B$3*EXP(-A43*$B$4/$B$6)</f>
        <v/>
      </c>
      <c r="D43" s="26">
        <f>($B$3/$B$5)*EXP(-A43*$B$5/$B$6)</f>
        <v/>
      </c>
      <c r="E43" s="26">
        <f>-$B$3*EXP(-A43*$B$5/$B$6)</f>
        <v/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24">
        <f>T42+$Z$2</f>
        <v/>
      </c>
      <c r="U43" s="25">
        <f>($U$3/$U$4)*(1-EXP(-T43*$U$4/$U$6))</f>
        <v/>
      </c>
      <c r="V43" s="25">
        <f>$U$3*EXP(-T43*$U$4/$U$6)</f>
        <v/>
      </c>
      <c r="W43" s="26">
        <f>($U$3/$U$5)*EXP(-T43*$U$5/$U$6)</f>
        <v/>
      </c>
      <c r="X43" s="26">
        <f>-$U$3*EXP(-T43*$U$5/$U$6)</f>
        <v/>
      </c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24">
        <f>AO42+$AU$2</f>
        <v/>
      </c>
      <c r="AP43" s="25">
        <f>($AP$3/$AP$4)*(1-EXP(-AO43*$AP$4/$AP$6))</f>
        <v/>
      </c>
      <c r="AQ43" s="25">
        <f>$AP$3*EXP(-AO43*$AP$4/$AP$6)</f>
        <v/>
      </c>
      <c r="AR43" s="26">
        <f>($AP$3/$AP$5)*EXP(-AO43*$AP$5/$AP$6)</f>
        <v/>
      </c>
      <c r="AS43" s="26">
        <f>-$AP$3*EXP(-AO43*$AP$5/$AP$6)</f>
        <v/>
      </c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</row>
    <row r="44">
      <c r="A44" s="21">
        <f>A43+$G$2</f>
        <v/>
      </c>
      <c r="B44" s="22">
        <f>($B$3/$B$4)*(1-EXP(-A44*$B$4/$B$6))</f>
        <v/>
      </c>
      <c r="C44" s="22">
        <f>$B$3*EXP(-A44*$B$4/$B$6)</f>
        <v/>
      </c>
      <c r="D44" s="23">
        <f>($B$3/$B$5)*EXP(-A44*$B$5/$B$6)</f>
        <v/>
      </c>
      <c r="E44" s="23">
        <f>-$B$3*EXP(-A44*$B$5/$B$6)</f>
        <v/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21">
        <f>T43+$Z$2</f>
        <v/>
      </c>
      <c r="U44" s="22">
        <f>($U$3/$U$4)*(1-EXP(-T44*$U$4/$U$6))</f>
        <v/>
      </c>
      <c r="V44" s="22">
        <f>$U$3*EXP(-T44*$U$4/$U$6)</f>
        <v/>
      </c>
      <c r="W44" s="23">
        <f>($U$3/$U$5)*EXP(-T44*$U$5/$U$6)</f>
        <v/>
      </c>
      <c r="X44" s="23">
        <f>-$U$3*EXP(-T44*$U$5/$U$6)</f>
        <v/>
      </c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21">
        <f>AO43+$AU$2</f>
        <v/>
      </c>
      <c r="AP44" s="22">
        <f>($AP$3/$AP$4)*(1-EXP(-AO44*$AP$4/$AP$6))</f>
        <v/>
      </c>
      <c r="AQ44" s="22">
        <f>$AP$3*EXP(-AO44*$AP$4/$AP$6)</f>
        <v/>
      </c>
      <c r="AR44" s="23">
        <f>($AP$3/$AP$5)*EXP(-AO44*$AP$5/$AP$6)</f>
        <v/>
      </c>
      <c r="AS44" s="23">
        <f>-$AP$3*EXP(-AO44*$AP$5/$AP$6)</f>
        <v/>
      </c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</row>
    <row r="45">
      <c r="A45" s="24">
        <f>A44+$G$2</f>
        <v/>
      </c>
      <c r="B45" s="25">
        <f>($B$3/$B$4)*(1-EXP(-A45*$B$4/$B$6))</f>
        <v/>
      </c>
      <c r="C45" s="25">
        <f>$B$3*EXP(-A45*$B$4/$B$6)</f>
        <v/>
      </c>
      <c r="D45" s="26">
        <f>($B$3/$B$5)*EXP(-A45*$B$5/$B$6)</f>
        <v/>
      </c>
      <c r="E45" s="26">
        <f>-$B$3*EXP(-A45*$B$5/$B$6)</f>
        <v/>
      </c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24">
        <f>T44+$Z$2</f>
        <v/>
      </c>
      <c r="U45" s="25">
        <f>($U$3/$U$4)*(1-EXP(-T45*$U$4/$U$6))</f>
        <v/>
      </c>
      <c r="V45" s="25">
        <f>$U$3*EXP(-T45*$U$4/$U$6)</f>
        <v/>
      </c>
      <c r="W45" s="26">
        <f>($U$3/$U$5)*EXP(-T45*$U$5/$U$6)</f>
        <v/>
      </c>
      <c r="X45" s="26">
        <f>-$U$3*EXP(-T45*$U$5/$U$6)</f>
        <v/>
      </c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24">
        <f>AO44+$AU$2</f>
        <v/>
      </c>
      <c r="AP45" s="25">
        <f>($AP$3/$AP$4)*(1-EXP(-AO45*$AP$4/$AP$6))</f>
        <v/>
      </c>
      <c r="AQ45" s="25">
        <f>$AP$3*EXP(-AO45*$AP$4/$AP$6)</f>
        <v/>
      </c>
      <c r="AR45" s="26">
        <f>($AP$3/$AP$5)*EXP(-AO45*$AP$5/$AP$6)</f>
        <v/>
      </c>
      <c r="AS45" s="26">
        <f>-$AP$3*EXP(-AO45*$AP$5/$AP$6)</f>
        <v/>
      </c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</row>
    <row r="46">
      <c r="A46" s="21">
        <f>A45+$G$2</f>
        <v/>
      </c>
      <c r="B46" s="22">
        <f>($B$3/$B$4)*(1-EXP(-A46*$B$4/$B$6))</f>
        <v/>
      </c>
      <c r="C46" s="22">
        <f>$B$3*EXP(-A46*$B$4/$B$6)</f>
        <v/>
      </c>
      <c r="D46" s="23">
        <f>($B$3/$B$5)*EXP(-A46*$B$5/$B$6)</f>
        <v/>
      </c>
      <c r="E46" s="23">
        <f>-$B$3*EXP(-A46*$B$5/$B$6)</f>
        <v/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21">
        <f>T45+$Z$2</f>
        <v/>
      </c>
      <c r="U46" s="22">
        <f>($U$3/$U$4)*(1-EXP(-T46*$U$4/$U$6))</f>
        <v/>
      </c>
      <c r="V46" s="22">
        <f>$U$3*EXP(-T46*$U$4/$U$6)</f>
        <v/>
      </c>
      <c r="W46" s="23">
        <f>($U$3/$U$5)*EXP(-T46*$U$5/$U$6)</f>
        <v/>
      </c>
      <c r="X46" s="23">
        <f>-$U$3*EXP(-T46*$U$5/$U$6)</f>
        <v/>
      </c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21">
        <f>AO45+$AU$2</f>
        <v/>
      </c>
      <c r="AP46" s="22">
        <f>($AP$3/$AP$4)*(1-EXP(-AO46*$AP$4/$AP$6))</f>
        <v/>
      </c>
      <c r="AQ46" s="22">
        <f>$AP$3*EXP(-AO46*$AP$4/$AP$6)</f>
        <v/>
      </c>
      <c r="AR46" s="23">
        <f>($AP$3/$AP$5)*EXP(-AO46*$AP$5/$AP$6)</f>
        <v/>
      </c>
      <c r="AS46" s="23">
        <f>-$AP$3*EXP(-AO46*$AP$5/$AP$6)</f>
        <v/>
      </c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</row>
    <row r="47">
      <c r="A47" s="24">
        <f>A46+$G$2</f>
        <v/>
      </c>
      <c r="B47" s="25">
        <f>($B$3/$B$4)*(1-EXP(-A47*$B$4/$B$6))</f>
        <v/>
      </c>
      <c r="C47" s="25">
        <f>$B$3*EXP(-A47*$B$4/$B$6)</f>
        <v/>
      </c>
      <c r="D47" s="26">
        <f>($B$3/$B$5)*EXP(-A47*$B$5/$B$6)</f>
        <v/>
      </c>
      <c r="E47" s="26">
        <f>-$B$3*EXP(-A47*$B$5/$B$6)</f>
        <v/>
      </c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24">
        <f>T46+$Z$2</f>
        <v/>
      </c>
      <c r="U47" s="25">
        <f>($U$3/$U$4)*(1-EXP(-T47*$U$4/$U$6))</f>
        <v/>
      </c>
      <c r="V47" s="25">
        <f>$U$3*EXP(-T47*$U$4/$U$6)</f>
        <v/>
      </c>
      <c r="W47" s="26">
        <f>($U$3/$U$5)*EXP(-T47*$U$5/$U$6)</f>
        <v/>
      </c>
      <c r="X47" s="26">
        <f>-$U$3*EXP(-T47*$U$5/$U$6)</f>
        <v/>
      </c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24">
        <f>AO46+$AU$2</f>
        <v/>
      </c>
      <c r="AP47" s="25">
        <f>($AP$3/$AP$4)*(1-EXP(-AO47*$AP$4/$AP$6))</f>
        <v/>
      </c>
      <c r="AQ47" s="25">
        <f>$AP$3*EXP(-AO47*$AP$4/$AP$6)</f>
        <v/>
      </c>
      <c r="AR47" s="26">
        <f>($AP$3/$AP$5)*EXP(-AO47*$AP$5/$AP$6)</f>
        <v/>
      </c>
      <c r="AS47" s="26">
        <f>-$AP$3*EXP(-AO47*$AP$5/$AP$6)</f>
        <v/>
      </c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</row>
    <row r="48">
      <c r="A48" s="21">
        <f>A47+$G$2</f>
        <v/>
      </c>
      <c r="B48" s="22">
        <f>($B$3/$B$4)*(1-EXP(-A48*$B$4/$B$6))</f>
        <v/>
      </c>
      <c r="C48" s="22">
        <f>$B$3*EXP(-A48*$B$4/$B$6)</f>
        <v/>
      </c>
      <c r="D48" s="23">
        <f>($B$3/$B$5)*EXP(-A48*$B$5/$B$6)</f>
        <v/>
      </c>
      <c r="E48" s="23">
        <f>-$B$3*EXP(-A48*$B$5/$B$6)</f>
        <v/>
      </c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21">
        <f>T47+$Z$2</f>
        <v/>
      </c>
      <c r="U48" s="22">
        <f>($U$3/$U$4)*(1-EXP(-T48*$U$4/$U$6))</f>
        <v/>
      </c>
      <c r="V48" s="22">
        <f>$U$3*EXP(-T48*$U$4/$U$6)</f>
        <v/>
      </c>
      <c r="W48" s="23">
        <f>($U$3/$U$5)*EXP(-T48*$U$5/$U$6)</f>
        <v/>
      </c>
      <c r="X48" s="23">
        <f>-$U$3*EXP(-T48*$U$5/$U$6)</f>
        <v/>
      </c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21">
        <f>AO47+$AU$2</f>
        <v/>
      </c>
      <c r="AP48" s="22">
        <f>($AP$3/$AP$4)*(1-EXP(-AO48*$AP$4/$AP$6))</f>
        <v/>
      </c>
      <c r="AQ48" s="22">
        <f>$AP$3*EXP(-AO48*$AP$4/$AP$6)</f>
        <v/>
      </c>
      <c r="AR48" s="23">
        <f>($AP$3/$AP$5)*EXP(-AO48*$AP$5/$AP$6)</f>
        <v/>
      </c>
      <c r="AS48" s="23">
        <f>-$AP$3*EXP(-AO48*$AP$5/$AP$6)</f>
        <v/>
      </c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</row>
    <row r="49">
      <c r="A49" s="24">
        <f>A48+$G$2</f>
        <v/>
      </c>
      <c r="B49" s="25">
        <f>($B$3/$B$4)*(1-EXP(-A49*$B$4/$B$6))</f>
        <v/>
      </c>
      <c r="C49" s="25">
        <f>$B$3*EXP(-A49*$B$4/$B$6)</f>
        <v/>
      </c>
      <c r="D49" s="26">
        <f>($B$3/$B$5)*EXP(-A49*$B$5/$B$6)</f>
        <v/>
      </c>
      <c r="E49" s="26">
        <f>-$B$3*EXP(-A49*$B$5/$B$6)</f>
        <v/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24">
        <f>T48+$Z$2</f>
        <v/>
      </c>
      <c r="U49" s="25">
        <f>($U$3/$U$4)*(1-EXP(-T49*$U$4/$U$6))</f>
        <v/>
      </c>
      <c r="V49" s="25">
        <f>$U$3*EXP(-T49*$U$4/$U$6)</f>
        <v/>
      </c>
      <c r="W49" s="26">
        <f>($U$3/$U$5)*EXP(-T49*$U$5/$U$6)</f>
        <v/>
      </c>
      <c r="X49" s="26">
        <f>-$U$3*EXP(-T49*$U$5/$U$6)</f>
        <v/>
      </c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24">
        <f>AO48+$AU$2</f>
        <v/>
      </c>
      <c r="AP49" s="25">
        <f>($AP$3/$AP$4)*(1-EXP(-AO49*$AP$4/$AP$6))</f>
        <v/>
      </c>
      <c r="AQ49" s="25">
        <f>$AP$3*EXP(-AO49*$AP$4/$AP$6)</f>
        <v/>
      </c>
      <c r="AR49" s="26">
        <f>($AP$3/$AP$5)*EXP(-AO49*$AP$5/$AP$6)</f>
        <v/>
      </c>
      <c r="AS49" s="26">
        <f>-$AP$3*EXP(-AO49*$AP$5/$AP$6)</f>
        <v/>
      </c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</row>
    <row r="50">
      <c r="A50" s="21">
        <f>A49+$G$2</f>
        <v/>
      </c>
      <c r="B50" s="22">
        <f>($B$3/$B$4)*(1-EXP(-A50*$B$4/$B$6))</f>
        <v/>
      </c>
      <c r="C50" s="22">
        <f>$B$3*EXP(-A50*$B$4/$B$6)</f>
        <v/>
      </c>
      <c r="D50" s="23">
        <f>($B$3/$B$5)*EXP(-A50*$B$5/$B$6)</f>
        <v/>
      </c>
      <c r="E50" s="23">
        <f>-$B$3*EXP(-A50*$B$5/$B$6)</f>
        <v/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21">
        <f>T49+$Z$2</f>
        <v/>
      </c>
      <c r="U50" s="22">
        <f>($U$3/$U$4)*(1-EXP(-T50*$U$4/$U$6))</f>
        <v/>
      </c>
      <c r="V50" s="22">
        <f>$U$3*EXP(-T50*$U$4/$U$6)</f>
        <v/>
      </c>
      <c r="W50" s="23">
        <f>($U$3/$U$5)*EXP(-T50*$U$5/$U$6)</f>
        <v/>
      </c>
      <c r="X50" s="23">
        <f>-$U$3*EXP(-T50*$U$5/$U$6)</f>
        <v/>
      </c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21">
        <f>AO49+$AU$2</f>
        <v/>
      </c>
      <c r="AP50" s="22">
        <f>($AP$3/$AP$4)*(1-EXP(-AO50*$AP$4/$AP$6))</f>
        <v/>
      </c>
      <c r="AQ50" s="22">
        <f>$AP$3*EXP(-AO50*$AP$4/$AP$6)</f>
        <v/>
      </c>
      <c r="AR50" s="23">
        <f>($AP$3/$AP$5)*EXP(-AO50*$AP$5/$AP$6)</f>
        <v/>
      </c>
      <c r="AS50" s="23">
        <f>-$AP$3*EXP(-AO50*$AP$5/$AP$6)</f>
        <v/>
      </c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</row>
    <row r="51">
      <c r="A51" s="24">
        <f>A50+$G$2</f>
        <v/>
      </c>
      <c r="B51" s="25">
        <f>($B$3/$B$4)*(1-EXP(-A51*$B$4/$B$6))</f>
        <v/>
      </c>
      <c r="C51" s="25">
        <f>$B$3*EXP(-A51*$B$4/$B$6)</f>
        <v/>
      </c>
      <c r="D51" s="26">
        <f>($B$3/$B$5)*EXP(-A51*$B$5/$B$6)</f>
        <v/>
      </c>
      <c r="E51" s="26">
        <f>-$B$3*EXP(-A51*$B$5/$B$6)</f>
        <v/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24">
        <f>T50+$Z$2</f>
        <v/>
      </c>
      <c r="U51" s="25">
        <f>($U$3/$U$4)*(1-EXP(-T51*$U$4/$U$6))</f>
        <v/>
      </c>
      <c r="V51" s="25">
        <f>$U$3*EXP(-T51*$U$4/$U$6)</f>
        <v/>
      </c>
      <c r="W51" s="26">
        <f>($U$3/$U$5)*EXP(-T51*$U$5/$U$6)</f>
        <v/>
      </c>
      <c r="X51" s="26">
        <f>-$U$3*EXP(-T51*$U$5/$U$6)</f>
        <v/>
      </c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24">
        <f>AO50+$AU$2</f>
        <v/>
      </c>
      <c r="AP51" s="25">
        <f>($AP$3/$AP$4)*(1-EXP(-AO51*$AP$4/$AP$6))</f>
        <v/>
      </c>
      <c r="AQ51" s="25">
        <f>$AP$3*EXP(-AO51*$AP$4/$AP$6)</f>
        <v/>
      </c>
      <c r="AR51" s="26">
        <f>($AP$3/$AP$5)*EXP(-AO51*$AP$5/$AP$6)</f>
        <v/>
      </c>
      <c r="AS51" s="26">
        <f>-$AP$3*EXP(-AO51*$AP$5/$AP$6)</f>
        <v/>
      </c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</row>
    <row r="52">
      <c r="A52" s="21">
        <f>A51+$G$2</f>
        <v/>
      </c>
      <c r="B52" s="22">
        <f>($B$3/$B$4)*(1-EXP(-A52*$B$4/$B$6))</f>
        <v/>
      </c>
      <c r="C52" s="22">
        <f>$B$3*EXP(-A52*$B$4/$B$6)</f>
        <v/>
      </c>
      <c r="D52" s="23">
        <f>($B$3/$B$5)*EXP(-A52*$B$5/$B$6)</f>
        <v/>
      </c>
      <c r="E52" s="23">
        <f>-$B$3*EXP(-A52*$B$5/$B$6)</f>
        <v/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21">
        <f>T51+$Z$2</f>
        <v/>
      </c>
      <c r="U52" s="22">
        <f>($U$3/$U$4)*(1-EXP(-T52*$U$4/$U$6))</f>
        <v/>
      </c>
      <c r="V52" s="22">
        <f>$U$3*EXP(-T52*$U$4/$U$6)</f>
        <v/>
      </c>
      <c r="W52" s="23">
        <f>($U$3/$U$5)*EXP(-T52*$U$5/$U$6)</f>
        <v/>
      </c>
      <c r="X52" s="23">
        <f>-$U$3*EXP(-T52*$U$5/$U$6)</f>
        <v/>
      </c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21">
        <f>AO51+$AU$2</f>
        <v/>
      </c>
      <c r="AP52" s="22">
        <f>($AP$3/$AP$4)*(1-EXP(-AO52*$AP$4/$AP$6))</f>
        <v/>
      </c>
      <c r="AQ52" s="22">
        <f>$AP$3*EXP(-AO52*$AP$4/$AP$6)</f>
        <v/>
      </c>
      <c r="AR52" s="23">
        <f>($AP$3/$AP$5)*EXP(-AO52*$AP$5/$AP$6)</f>
        <v/>
      </c>
      <c r="AS52" s="23">
        <f>-$AP$3*EXP(-AO52*$AP$5/$AP$6)</f>
        <v/>
      </c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</row>
    <row r="53">
      <c r="A53" s="24">
        <f>A52+$G$2</f>
        <v/>
      </c>
      <c r="B53" s="25">
        <f>($B$3/$B$4)*(1-EXP(-A53*$B$4/$B$6))</f>
        <v/>
      </c>
      <c r="C53" s="25">
        <f>$B$3*EXP(-A53*$B$4/$B$6)</f>
        <v/>
      </c>
      <c r="D53" s="26">
        <f>($B$3/$B$5)*EXP(-A53*$B$5/$B$6)</f>
        <v/>
      </c>
      <c r="E53" s="26">
        <f>-$B$3*EXP(-A53*$B$5/$B$6)</f>
        <v/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24">
        <f>T52+$Z$2</f>
        <v/>
      </c>
      <c r="U53" s="25">
        <f>($U$3/$U$4)*(1-EXP(-T53*$U$4/$U$6))</f>
        <v/>
      </c>
      <c r="V53" s="25">
        <f>$U$3*EXP(-T53*$U$4/$U$6)</f>
        <v/>
      </c>
      <c r="W53" s="26">
        <f>($U$3/$U$5)*EXP(-T53*$U$5/$U$6)</f>
        <v/>
      </c>
      <c r="X53" s="26">
        <f>-$U$3*EXP(-T53*$U$5/$U$6)</f>
        <v/>
      </c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24">
        <f>AO52+$AU$2</f>
        <v/>
      </c>
      <c r="AP53" s="25">
        <f>($AP$3/$AP$4)*(1-EXP(-AO53*$AP$4/$AP$6))</f>
        <v/>
      </c>
      <c r="AQ53" s="25">
        <f>$AP$3*EXP(-AO53*$AP$4/$AP$6)</f>
        <v/>
      </c>
      <c r="AR53" s="26">
        <f>($AP$3/$AP$5)*EXP(-AO53*$AP$5/$AP$6)</f>
        <v/>
      </c>
      <c r="AS53" s="26">
        <f>-$AP$3*EXP(-AO53*$AP$5/$AP$6)</f>
        <v/>
      </c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</row>
    <row r="54">
      <c r="A54" s="21">
        <f>A53+$G$2</f>
        <v/>
      </c>
      <c r="B54" s="22">
        <f>($B$3/$B$4)*(1-EXP(-A54*$B$4/$B$6))</f>
        <v/>
      </c>
      <c r="C54" s="22">
        <f>$B$3*EXP(-A54*$B$4/$B$6)</f>
        <v/>
      </c>
      <c r="D54" s="23">
        <f>($B$3/$B$5)*EXP(-A54*$B$5/$B$6)</f>
        <v/>
      </c>
      <c r="E54" s="23">
        <f>-$B$3*EXP(-A54*$B$5/$B$6)</f>
        <v/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21">
        <f>T53+$Z$2</f>
        <v/>
      </c>
      <c r="U54" s="22">
        <f>($U$3/$U$4)*(1-EXP(-T54*$U$4/$U$6))</f>
        <v/>
      </c>
      <c r="V54" s="22">
        <f>$U$3*EXP(-T54*$U$4/$U$6)</f>
        <v/>
      </c>
      <c r="W54" s="23">
        <f>($U$3/$U$5)*EXP(-T54*$U$5/$U$6)</f>
        <v/>
      </c>
      <c r="X54" s="23">
        <f>-$U$3*EXP(-T54*$U$5/$U$6)</f>
        <v/>
      </c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21">
        <f>AO53+$AU$2</f>
        <v/>
      </c>
      <c r="AP54" s="22">
        <f>($AP$3/$AP$4)*(1-EXP(-AO54*$AP$4/$AP$6))</f>
        <v/>
      </c>
      <c r="AQ54" s="22">
        <f>$AP$3*EXP(-AO54*$AP$4/$AP$6)</f>
        <v/>
      </c>
      <c r="AR54" s="23">
        <f>($AP$3/$AP$5)*EXP(-AO54*$AP$5/$AP$6)</f>
        <v/>
      </c>
      <c r="AS54" s="23">
        <f>-$AP$3*EXP(-AO54*$AP$5/$AP$6)</f>
        <v/>
      </c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</row>
    <row r="55">
      <c r="A55" s="24">
        <f>A54+$G$2</f>
        <v/>
      </c>
      <c r="B55" s="25">
        <f>($B$3/$B$4)*(1-EXP(-A55*$B$4/$B$6))</f>
        <v/>
      </c>
      <c r="C55" s="25">
        <f>$B$3*EXP(-A55*$B$4/$B$6)</f>
        <v/>
      </c>
      <c r="D55" s="26">
        <f>($B$3/$B$5)*EXP(-A55*$B$5/$B$6)</f>
        <v/>
      </c>
      <c r="E55" s="26">
        <f>-$B$3*EXP(-A55*$B$5/$B$6)</f>
        <v/>
      </c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24">
        <f>T54+$Z$2</f>
        <v/>
      </c>
      <c r="U55" s="25">
        <f>($U$3/$U$4)*(1-EXP(-T55*$U$4/$U$6))</f>
        <v/>
      </c>
      <c r="V55" s="25">
        <f>$U$3*EXP(-T55*$U$4/$U$6)</f>
        <v/>
      </c>
      <c r="W55" s="26">
        <f>($U$3/$U$5)*EXP(-T55*$U$5/$U$6)</f>
        <v/>
      </c>
      <c r="X55" s="26">
        <f>-$U$3*EXP(-T55*$U$5/$U$6)</f>
        <v/>
      </c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24">
        <f>AO54+$AU$2</f>
        <v/>
      </c>
      <c r="AP55" s="25">
        <f>($AP$3/$AP$4)*(1-EXP(-AO55*$AP$4/$AP$6))</f>
        <v/>
      </c>
      <c r="AQ55" s="25">
        <f>$AP$3*EXP(-AO55*$AP$4/$AP$6)</f>
        <v/>
      </c>
      <c r="AR55" s="26">
        <f>($AP$3/$AP$5)*EXP(-AO55*$AP$5/$AP$6)</f>
        <v/>
      </c>
      <c r="AS55" s="26">
        <f>-$AP$3*EXP(-AO55*$AP$5/$AP$6)</f>
        <v/>
      </c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</row>
    <row r="56">
      <c r="A56" s="21">
        <f>A55+$G$2</f>
        <v/>
      </c>
      <c r="B56" s="22">
        <f>($B$3/$B$4)*(1-EXP(-A56*$B$4/$B$6))</f>
        <v/>
      </c>
      <c r="C56" s="22">
        <f>$B$3*EXP(-A56*$B$4/$B$6)</f>
        <v/>
      </c>
      <c r="D56" s="23">
        <f>($B$3/$B$5)*EXP(-A56*$B$5/$B$6)</f>
        <v/>
      </c>
      <c r="E56" s="23">
        <f>-$B$3*EXP(-A56*$B$5/$B$6)</f>
        <v/>
      </c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21">
        <f>T55+$Z$2</f>
        <v/>
      </c>
      <c r="U56" s="22">
        <f>($U$3/$U$4)*(1-EXP(-T56*$U$4/$U$6))</f>
        <v/>
      </c>
      <c r="V56" s="22">
        <f>$U$3*EXP(-T56*$U$4/$U$6)</f>
        <v/>
      </c>
      <c r="W56" s="23">
        <f>($U$3/$U$5)*EXP(-T56*$U$5/$U$6)</f>
        <v/>
      </c>
      <c r="X56" s="23">
        <f>-$U$3*EXP(-T56*$U$5/$U$6)</f>
        <v/>
      </c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21">
        <f>AO55+$AU$2</f>
        <v/>
      </c>
      <c r="AP56" s="22">
        <f>($AP$3/$AP$4)*(1-EXP(-AO56*$AP$4/$AP$6))</f>
        <v/>
      </c>
      <c r="AQ56" s="22">
        <f>$AP$3*EXP(-AO56*$AP$4/$AP$6)</f>
        <v/>
      </c>
      <c r="AR56" s="23">
        <f>($AP$3/$AP$5)*EXP(-AO56*$AP$5/$AP$6)</f>
        <v/>
      </c>
      <c r="AS56" s="23">
        <f>-$AP$3*EXP(-AO56*$AP$5/$AP$6)</f>
        <v/>
      </c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</row>
    <row r="57">
      <c r="A57" s="24">
        <f>A56+$G$2</f>
        <v/>
      </c>
      <c r="B57" s="25">
        <f>($B$3/$B$4)*(1-EXP(-A57*$B$4/$B$6))</f>
        <v/>
      </c>
      <c r="C57" s="25">
        <f>$B$3*EXP(-A57*$B$4/$B$6)</f>
        <v/>
      </c>
      <c r="D57" s="26">
        <f>($B$3/$B$5)*EXP(-A57*$B$5/$B$6)</f>
        <v/>
      </c>
      <c r="E57" s="26">
        <f>-$B$3*EXP(-A57*$B$5/$B$6)</f>
        <v/>
      </c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24">
        <f>T56+$Z$2</f>
        <v/>
      </c>
      <c r="U57" s="25">
        <f>($U$3/$U$4)*(1-EXP(-T57*$U$4/$U$6))</f>
        <v/>
      </c>
      <c r="V57" s="25">
        <f>$U$3*EXP(-T57*$U$4/$U$6)</f>
        <v/>
      </c>
      <c r="W57" s="26">
        <f>($U$3/$U$5)*EXP(-T57*$U$5/$U$6)</f>
        <v/>
      </c>
      <c r="X57" s="26">
        <f>-$U$3*EXP(-T57*$U$5/$U$6)</f>
        <v/>
      </c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24">
        <f>AO56+$AU$2</f>
        <v/>
      </c>
      <c r="AP57" s="25">
        <f>($AP$3/$AP$4)*(1-EXP(-AO57*$AP$4/$AP$6))</f>
        <v/>
      </c>
      <c r="AQ57" s="25">
        <f>$AP$3*EXP(-AO57*$AP$4/$AP$6)</f>
        <v/>
      </c>
      <c r="AR57" s="26">
        <f>($AP$3/$AP$5)*EXP(-AO57*$AP$5/$AP$6)</f>
        <v/>
      </c>
      <c r="AS57" s="26">
        <f>-$AP$3*EXP(-AO57*$AP$5/$AP$6)</f>
        <v/>
      </c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</row>
    <row r="58">
      <c r="A58" s="21">
        <f>A57+$G$2</f>
        <v/>
      </c>
      <c r="B58" s="22">
        <f>($B$3/$B$4)*(1-EXP(-A58*$B$4/$B$6))</f>
        <v/>
      </c>
      <c r="C58" s="22">
        <f>$B$3*EXP(-A58*$B$4/$B$6)</f>
        <v/>
      </c>
      <c r="D58" s="23">
        <f>($B$3/$B$5)*EXP(-A58*$B$5/$B$6)</f>
        <v/>
      </c>
      <c r="E58" s="23">
        <f>-$B$3*EXP(-A58*$B$5/$B$6)</f>
        <v/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21">
        <f>T57+$Z$2</f>
        <v/>
      </c>
      <c r="U58" s="22">
        <f>($U$3/$U$4)*(1-EXP(-T58*$U$4/$U$6))</f>
        <v/>
      </c>
      <c r="V58" s="22">
        <f>$U$3*EXP(-T58*$U$4/$U$6)</f>
        <v/>
      </c>
      <c r="W58" s="23">
        <f>($U$3/$U$5)*EXP(-T58*$U$5/$U$6)</f>
        <v/>
      </c>
      <c r="X58" s="23">
        <f>-$U$3*EXP(-T58*$U$5/$U$6)</f>
        <v/>
      </c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21">
        <f>AO57+$AU$2</f>
        <v/>
      </c>
      <c r="AP58" s="22">
        <f>($AP$3/$AP$4)*(1-EXP(-AO58*$AP$4/$AP$6))</f>
        <v/>
      </c>
      <c r="AQ58" s="22">
        <f>$AP$3*EXP(-AO58*$AP$4/$AP$6)</f>
        <v/>
      </c>
      <c r="AR58" s="23">
        <f>($AP$3/$AP$5)*EXP(-AO58*$AP$5/$AP$6)</f>
        <v/>
      </c>
      <c r="AS58" s="23">
        <f>-$AP$3*EXP(-AO58*$AP$5/$AP$6)</f>
        <v/>
      </c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</row>
    <row r="59">
      <c r="A59" s="24">
        <f>A58+$G$2</f>
        <v/>
      </c>
      <c r="B59" s="25">
        <f>($B$3/$B$4)*(1-EXP(-A59*$B$4/$B$6))</f>
        <v/>
      </c>
      <c r="C59" s="25">
        <f>$B$3*EXP(-A59*$B$4/$B$6)</f>
        <v/>
      </c>
      <c r="D59" s="26">
        <f>($B$3/$B$5)*EXP(-A59*$B$5/$B$6)</f>
        <v/>
      </c>
      <c r="E59" s="26">
        <f>-$B$3*EXP(-A59*$B$5/$B$6)</f>
        <v/>
      </c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24">
        <f>T58+$Z$2</f>
        <v/>
      </c>
      <c r="U59" s="25">
        <f>($U$3/$U$4)*(1-EXP(-T59*$U$4/$U$6))</f>
        <v/>
      </c>
      <c r="V59" s="25">
        <f>$U$3*EXP(-T59*$U$4/$U$6)</f>
        <v/>
      </c>
      <c r="W59" s="26">
        <f>($U$3/$U$5)*EXP(-T59*$U$5/$U$6)</f>
        <v/>
      </c>
      <c r="X59" s="26">
        <f>-$U$3*EXP(-T59*$U$5/$U$6)</f>
        <v/>
      </c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24">
        <f>AO58+$AU$2</f>
        <v/>
      </c>
      <c r="AP59" s="25">
        <f>($AP$3/$AP$4)*(1-EXP(-AO59*$AP$4/$AP$6))</f>
        <v/>
      </c>
      <c r="AQ59" s="25">
        <f>$AP$3*EXP(-AO59*$AP$4/$AP$6)</f>
        <v/>
      </c>
      <c r="AR59" s="26">
        <f>($AP$3/$AP$5)*EXP(-AO59*$AP$5/$AP$6)</f>
        <v/>
      </c>
      <c r="AS59" s="26">
        <f>-$AP$3*EXP(-AO59*$AP$5/$AP$6)</f>
        <v/>
      </c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</row>
    <row r="60">
      <c r="A60" s="21">
        <f>A59+$G$2</f>
        <v/>
      </c>
      <c r="B60" s="22">
        <f>($B$3/$B$4)*(1-EXP(-A60*$B$4/$B$6))</f>
        <v/>
      </c>
      <c r="C60" s="22">
        <f>$B$3*EXP(-A60*$B$4/$B$6)</f>
        <v/>
      </c>
      <c r="D60" s="23">
        <f>($B$3/$B$5)*EXP(-A60*$B$5/$B$6)</f>
        <v/>
      </c>
      <c r="E60" s="23">
        <f>-$B$3*EXP(-A60*$B$5/$B$6)</f>
        <v/>
      </c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21">
        <f>T59+$Z$2</f>
        <v/>
      </c>
      <c r="U60" s="22">
        <f>($U$3/$U$4)*(1-EXP(-T60*$U$4/$U$6))</f>
        <v/>
      </c>
      <c r="V60" s="22">
        <f>$U$3*EXP(-T60*$U$4/$U$6)</f>
        <v/>
      </c>
      <c r="W60" s="23">
        <f>($U$3/$U$5)*EXP(-T60*$U$5/$U$6)</f>
        <v/>
      </c>
      <c r="X60" s="23">
        <f>-$U$3*EXP(-T60*$U$5/$U$6)</f>
        <v/>
      </c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21">
        <f>AO59+$AU$2</f>
        <v/>
      </c>
      <c r="AP60" s="22">
        <f>($AP$3/$AP$4)*(1-EXP(-AO60*$AP$4/$AP$6))</f>
        <v/>
      </c>
      <c r="AQ60" s="22">
        <f>$AP$3*EXP(-AO60*$AP$4/$AP$6)</f>
        <v/>
      </c>
      <c r="AR60" s="23">
        <f>($AP$3/$AP$5)*EXP(-AO60*$AP$5/$AP$6)</f>
        <v/>
      </c>
      <c r="AS60" s="23">
        <f>-$AP$3*EXP(-AO60*$AP$5/$AP$6)</f>
        <v/>
      </c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7" t="inlineStr">
        <is>
          <t>Разряд для графика (10τр)</t>
        </is>
      </c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27" t="inlineStr">
        <is>
          <t>Разряд для графика (10τр)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27" t="inlineStr">
        <is>
          <t>Разряд для графика (10τр)</t>
        </is>
      </c>
      <c r="AX68" s="5" t="n"/>
      <c r="AY68" s="5" t="n"/>
      <c r="AZ68" s="5" t="n"/>
      <c r="BA68" s="5" t="n"/>
      <c r="BB68" s="5" t="n"/>
      <c r="BC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3" t="inlineStr">
        <is>
          <t>tр, c</t>
        </is>
      </c>
      <c r="J69" s="7" t="inlineStr">
        <is>
          <t>Iр, А</t>
        </is>
      </c>
      <c r="K69" s="20" t="inlineStr">
        <is>
          <t>Uр, В</t>
        </is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3" t="inlineStr">
        <is>
          <t>tр, c</t>
        </is>
      </c>
      <c r="AC69" s="7" t="inlineStr">
        <is>
          <t>Iр, А</t>
        </is>
      </c>
      <c r="AD69" s="20" t="inlineStr">
        <is>
          <t>Uр, В</t>
        </is>
      </c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3" t="inlineStr">
        <is>
          <t>tр, c</t>
        </is>
      </c>
      <c r="AX69" s="7" t="inlineStr">
        <is>
          <t>Iр, А</t>
        </is>
      </c>
      <c r="AY69" s="20" t="inlineStr">
        <is>
          <t>Uр, В</t>
        </is>
      </c>
      <c r="AZ69" s="5" t="n"/>
      <c r="BA69" s="5" t="n"/>
      <c r="BB69" s="5" t="n"/>
      <c r="BC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8" t="n">
        <v>0</v>
      </c>
      <c r="J70" s="23">
        <f>($B$3/$B$5)*EXP(-I70*$B$5/$B$6)</f>
        <v/>
      </c>
      <c r="K70" s="23">
        <f>-$B$3*EXP(-I70*$B$5/$B$6)</f>
        <v/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28" t="n">
        <v>0</v>
      </c>
      <c r="AC70" s="23">
        <f>($U$3/$U$5)*EXP(-AB70*$U$5/$U$6)</f>
        <v/>
      </c>
      <c r="AD70" s="23">
        <f>-$U$3*EXP(-AB70*$U$5/$U$6)</f>
        <v/>
      </c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28" t="n">
        <v>0</v>
      </c>
      <c r="AX70" s="23">
        <f>($AP$3/$AP$5)*EXP(-AW70*$AP$5/$AP$6)</f>
        <v/>
      </c>
      <c r="AY70" s="23">
        <f>-$AP$3*EXP(-AW70*$AP$5/$AP$6)</f>
        <v/>
      </c>
      <c r="AZ70" s="5" t="n"/>
      <c r="BA70" s="5" t="n"/>
      <c r="BB70" s="5" t="n"/>
      <c r="BC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9">
        <f>I70+$H$2</f>
        <v/>
      </c>
      <c r="J71" s="26">
        <f>($B$3/$B$5)*EXP(-I71*$B$5/$B$6)</f>
        <v/>
      </c>
      <c r="K71" s="26">
        <f>-$B$3*EXP(-I71*$B$5/$B$6)</f>
        <v/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29">
        <f>AB70+$AA$2</f>
        <v/>
      </c>
      <c r="AC71" s="26">
        <f>($U$3/$U$5)*EXP(-AB71*$U$5/$U$6)</f>
        <v/>
      </c>
      <c r="AD71" s="26">
        <f>-$U$3*EXP(-AB71*$U$5/$U$6)</f>
        <v/>
      </c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29">
        <f>AW70+$AV$2</f>
        <v/>
      </c>
      <c r="AX71" s="26">
        <f>($AP$3/$AP$5)*EXP(-AW71*$AP$5/$AP$6)</f>
        <v/>
      </c>
      <c r="AY71" s="26">
        <f>-$AP$3*EXP(-AW71*$AP$5/$AP$6)</f>
        <v/>
      </c>
      <c r="AZ71" s="5" t="n"/>
      <c r="BA71" s="5" t="n"/>
      <c r="BB71" s="5" t="n"/>
      <c r="BC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8">
        <f>I71+$H$2</f>
        <v/>
      </c>
      <c r="J72" s="23">
        <f>($B$3/$B$5)*EXP(-I72*$B$5/$B$6)</f>
        <v/>
      </c>
      <c r="K72" s="23">
        <f>-$B$3*EXP(-I72*$B$5/$B$6)</f>
        <v/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28">
        <f>AB71+$AA$2</f>
        <v/>
      </c>
      <c r="AC72" s="23">
        <f>($U$3/$U$5)*EXP(-AB72*$U$5/$U$6)</f>
        <v/>
      </c>
      <c r="AD72" s="23">
        <f>-$U$3*EXP(-AB72*$U$5/$U$6)</f>
        <v/>
      </c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28">
        <f>AW71+$AV$2</f>
        <v/>
      </c>
      <c r="AX72" s="23">
        <f>($AP$3/$AP$5)*EXP(-AW72*$AP$5/$AP$6)</f>
        <v/>
      </c>
      <c r="AY72" s="23">
        <f>-$AP$3*EXP(-AW72*$AP$5/$AP$6)</f>
        <v/>
      </c>
      <c r="AZ72" s="5" t="n"/>
      <c r="BA72" s="5" t="n"/>
      <c r="BB72" s="5" t="n"/>
      <c r="BC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9">
        <f>I72+$H$2</f>
        <v/>
      </c>
      <c r="J73" s="26">
        <f>($B$3/$B$5)*EXP(-I73*$B$5/$B$6)</f>
        <v/>
      </c>
      <c r="K73" s="26">
        <f>-$B$3*EXP(-I73*$B$5/$B$6)</f>
        <v/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29">
        <f>AB72+$AA$2</f>
        <v/>
      </c>
      <c r="AC73" s="26">
        <f>($U$3/$U$5)*EXP(-AB73*$U$5/$U$6)</f>
        <v/>
      </c>
      <c r="AD73" s="26">
        <f>-$U$3*EXP(-AB73*$U$5/$U$6)</f>
        <v/>
      </c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29">
        <f>AW72+$AV$2</f>
        <v/>
      </c>
      <c r="AX73" s="26">
        <f>($AP$3/$AP$5)*EXP(-AW73*$AP$5/$AP$6)</f>
        <v/>
      </c>
      <c r="AY73" s="26">
        <f>-$AP$3*EXP(-AW73*$AP$5/$AP$6)</f>
        <v/>
      </c>
      <c r="AZ73" s="5" t="n"/>
      <c r="BA73" s="5" t="n"/>
      <c r="BB73" s="5" t="n"/>
      <c r="BC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8">
        <f>I73+$H$2</f>
        <v/>
      </c>
      <c r="J74" s="23">
        <f>($B$3/$B$5)*EXP(-I74*$B$5/$B$6)</f>
        <v/>
      </c>
      <c r="K74" s="23">
        <f>-$B$3*EXP(-I74*$B$5/$B$6)</f>
        <v/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28">
        <f>AB73+$AA$2</f>
        <v/>
      </c>
      <c r="AC74" s="23">
        <f>($U$3/$U$5)*EXP(-AB74*$U$5/$U$6)</f>
        <v/>
      </c>
      <c r="AD74" s="23">
        <f>-$U$3*EXP(-AB74*$U$5/$U$6)</f>
        <v/>
      </c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28">
        <f>AW73+$AV$2</f>
        <v/>
      </c>
      <c r="AX74" s="23">
        <f>($AP$3/$AP$5)*EXP(-AW74*$AP$5/$AP$6)</f>
        <v/>
      </c>
      <c r="AY74" s="23">
        <f>-$AP$3*EXP(-AW74*$AP$5/$AP$6)</f>
        <v/>
      </c>
      <c r="AZ74" s="5" t="n"/>
      <c r="BA74" s="5" t="n"/>
      <c r="BB74" s="5" t="n"/>
      <c r="BC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9">
        <f>I74+$H$2</f>
        <v/>
      </c>
      <c r="J75" s="26">
        <f>($B$3/$B$5)*EXP(-I75*$B$5/$B$6)</f>
        <v/>
      </c>
      <c r="K75" s="26">
        <f>-$B$3*EXP(-I75*$B$5/$B$6)</f>
        <v/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29">
        <f>AB74+$AA$2</f>
        <v/>
      </c>
      <c r="AC75" s="26">
        <f>($U$3/$U$5)*EXP(-AB75*$U$5/$U$6)</f>
        <v/>
      </c>
      <c r="AD75" s="26">
        <f>-$U$3*EXP(-AB75*$U$5/$U$6)</f>
        <v/>
      </c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29">
        <f>AW74+$AV$2</f>
        <v/>
      </c>
      <c r="AX75" s="26">
        <f>($AP$3/$AP$5)*EXP(-AW75*$AP$5/$AP$6)</f>
        <v/>
      </c>
      <c r="AY75" s="26">
        <f>-$AP$3*EXP(-AW75*$AP$5/$AP$6)</f>
        <v/>
      </c>
      <c r="AZ75" s="5" t="n"/>
      <c r="BA75" s="5" t="n"/>
      <c r="BB75" s="5" t="n"/>
      <c r="BC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8">
        <f>I75+$H$2</f>
        <v/>
      </c>
      <c r="J76" s="23">
        <f>($B$3/$B$5)*EXP(-I76*$B$5/$B$6)</f>
        <v/>
      </c>
      <c r="K76" s="23">
        <f>-$B$3*EXP(-I76*$B$5/$B$6)</f>
        <v/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28">
        <f>AB75+$AA$2</f>
        <v/>
      </c>
      <c r="AC76" s="23">
        <f>($U$3/$U$5)*EXP(-AB76*$U$5/$U$6)</f>
        <v/>
      </c>
      <c r="AD76" s="23">
        <f>-$U$3*EXP(-AB76*$U$5/$U$6)</f>
        <v/>
      </c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28">
        <f>AW75+$AV$2</f>
        <v/>
      </c>
      <c r="AX76" s="23">
        <f>($AP$3/$AP$5)*EXP(-AW76*$AP$5/$AP$6)</f>
        <v/>
      </c>
      <c r="AY76" s="23">
        <f>-$AP$3*EXP(-AW76*$AP$5/$AP$6)</f>
        <v/>
      </c>
      <c r="AZ76" s="5" t="n"/>
      <c r="BA76" s="5" t="n"/>
      <c r="BB76" s="5" t="n"/>
      <c r="BC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9">
        <f>I76+$H$2</f>
        <v/>
      </c>
      <c r="J77" s="26">
        <f>($B$3/$B$5)*EXP(-I77*$B$5/$B$6)</f>
        <v/>
      </c>
      <c r="K77" s="26">
        <f>-$B$3*EXP(-I77*$B$5/$B$6)</f>
        <v/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29">
        <f>AB76+$AA$2</f>
        <v/>
      </c>
      <c r="AC77" s="26">
        <f>($U$3/$U$5)*EXP(-AB77*$U$5/$U$6)</f>
        <v/>
      </c>
      <c r="AD77" s="26">
        <f>-$U$3*EXP(-AB77*$U$5/$U$6)</f>
        <v/>
      </c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29">
        <f>AW76+$AV$2</f>
        <v/>
      </c>
      <c r="AX77" s="26">
        <f>($AP$3/$AP$5)*EXP(-AW77*$AP$5/$AP$6)</f>
        <v/>
      </c>
      <c r="AY77" s="26">
        <f>-$AP$3*EXP(-AW77*$AP$5/$AP$6)</f>
        <v/>
      </c>
      <c r="AZ77" s="5" t="n"/>
      <c r="BA77" s="5" t="n"/>
      <c r="BB77" s="5" t="n"/>
      <c r="BC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8">
        <f>I77+$H$2</f>
        <v/>
      </c>
      <c r="J78" s="23">
        <f>($B$3/$B$5)*EXP(-I78*$B$5/$B$6)</f>
        <v/>
      </c>
      <c r="K78" s="23">
        <f>-$B$3*EXP(-I78*$B$5/$B$6)</f>
        <v/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28">
        <f>AB77+$AA$2</f>
        <v/>
      </c>
      <c r="AC78" s="23">
        <f>($U$3/$U$5)*EXP(-AB78*$U$5/$U$6)</f>
        <v/>
      </c>
      <c r="AD78" s="23">
        <f>-$U$3*EXP(-AB78*$U$5/$U$6)</f>
        <v/>
      </c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28">
        <f>AW77+$AV$2</f>
        <v/>
      </c>
      <c r="AX78" s="23">
        <f>($AP$3/$AP$5)*EXP(-AW78*$AP$5/$AP$6)</f>
        <v/>
      </c>
      <c r="AY78" s="23">
        <f>-$AP$3*EXP(-AW78*$AP$5/$AP$6)</f>
        <v/>
      </c>
      <c r="AZ78" s="5" t="n"/>
      <c r="BA78" s="5" t="n"/>
      <c r="BB78" s="5" t="n"/>
      <c r="BC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9">
        <f>I78+$H$2</f>
        <v/>
      </c>
      <c r="J79" s="26">
        <f>($B$3/$B$5)*EXP(-I79*$B$5/$B$6)</f>
        <v/>
      </c>
      <c r="K79" s="26">
        <f>-$B$3*EXP(-I79*$B$5/$B$6)</f>
        <v/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29">
        <f>AB78+$AA$2</f>
        <v/>
      </c>
      <c r="AC79" s="26">
        <f>($U$3/$U$5)*EXP(-AB79*$U$5/$U$6)</f>
        <v/>
      </c>
      <c r="AD79" s="26">
        <f>-$U$3*EXP(-AB79*$U$5/$U$6)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29">
        <f>AW78+$AV$2</f>
        <v/>
      </c>
      <c r="AX79" s="26">
        <f>($AP$3/$AP$5)*EXP(-AW79*$AP$5/$AP$6)</f>
        <v/>
      </c>
      <c r="AY79" s="26">
        <f>-$AP$3*EXP(-AW79*$AP$5/$AP$6)</f>
        <v/>
      </c>
      <c r="AZ79" s="5" t="n"/>
      <c r="BA79" s="5" t="n"/>
      <c r="BB79" s="5" t="n"/>
      <c r="BC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8">
        <f>I79+$H$2</f>
        <v/>
      </c>
      <c r="J80" s="23">
        <f>($B$3/$B$5)*EXP(-I80*$B$5/$B$6)</f>
        <v/>
      </c>
      <c r="K80" s="23">
        <f>-$B$3*EXP(-I80*$B$5/$B$6)</f>
        <v/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28">
        <f>AB79+$AA$2</f>
        <v/>
      </c>
      <c r="AC80" s="23">
        <f>($U$3/$U$5)*EXP(-AB80*$U$5/$U$6)</f>
        <v/>
      </c>
      <c r="AD80" s="23">
        <f>-$U$3*EXP(-AB80*$U$5/$U$6)</f>
        <v/>
      </c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28">
        <f>AW79+$AV$2</f>
        <v/>
      </c>
      <c r="AX80" s="23">
        <f>($AP$3/$AP$5)*EXP(-AW80*$AP$5/$AP$6)</f>
        <v/>
      </c>
      <c r="AY80" s="23">
        <f>-$AP$3*EXP(-AW80*$AP$5/$AP$6)</f>
        <v/>
      </c>
      <c r="AZ80" s="5" t="n"/>
      <c r="BA80" s="5" t="n"/>
      <c r="BB80" s="5" t="n"/>
      <c r="BC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9">
        <f>I80+$H$2</f>
        <v/>
      </c>
      <c r="J81" s="26">
        <f>($B$3/$B$5)*EXP(-I81*$B$5/$B$6)</f>
        <v/>
      </c>
      <c r="K81" s="26">
        <f>-$B$3*EXP(-I81*$B$5/$B$6)</f>
        <v/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29">
        <f>AB80+$AA$2</f>
        <v/>
      </c>
      <c r="AC81" s="26">
        <f>($U$3/$U$5)*EXP(-AB81*$U$5/$U$6)</f>
        <v/>
      </c>
      <c r="AD81" s="26">
        <f>-$U$3*EXP(-AB81*$U$5/$U$6)</f>
        <v/>
      </c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29">
        <f>AW80+$AV$2</f>
        <v/>
      </c>
      <c r="AX81" s="26">
        <f>($AP$3/$AP$5)*EXP(-AW81*$AP$5/$AP$6)</f>
        <v/>
      </c>
      <c r="AY81" s="26">
        <f>-$AP$3*EXP(-AW81*$AP$5/$AP$6)</f>
        <v/>
      </c>
      <c r="AZ81" s="5" t="n"/>
      <c r="BA81" s="5" t="n"/>
      <c r="BB81" s="5" t="n"/>
      <c r="BC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8">
        <f>I81+$H$2</f>
        <v/>
      </c>
      <c r="J82" s="23">
        <f>($B$3/$B$5)*EXP(-I82*$B$5/$B$6)</f>
        <v/>
      </c>
      <c r="K82" s="23">
        <f>-$B$3*EXP(-I82*$B$5/$B$6)</f>
        <v/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28">
        <f>AB81+$AA$2</f>
        <v/>
      </c>
      <c r="AC82" s="23">
        <f>($U$3/$U$5)*EXP(-AB82*$U$5/$U$6)</f>
        <v/>
      </c>
      <c r="AD82" s="23">
        <f>-$U$3*EXP(-AB82*$U$5/$U$6)</f>
        <v/>
      </c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28">
        <f>AW81+$AV$2</f>
        <v/>
      </c>
      <c r="AX82" s="23">
        <f>($AP$3/$AP$5)*EXP(-AW82*$AP$5/$AP$6)</f>
        <v/>
      </c>
      <c r="AY82" s="23">
        <f>-$AP$3*EXP(-AW82*$AP$5/$AP$6)</f>
        <v/>
      </c>
      <c r="AZ82" s="5" t="n"/>
      <c r="BA82" s="5" t="n"/>
      <c r="BB82" s="5" t="n"/>
      <c r="BC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9">
        <f>I82+$H$2</f>
        <v/>
      </c>
      <c r="J83" s="26">
        <f>($B$3/$B$5)*EXP(-I83*$B$5/$B$6)</f>
        <v/>
      </c>
      <c r="K83" s="26">
        <f>-$B$3*EXP(-I83*$B$5/$B$6)</f>
        <v/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29">
        <f>AB82+$AA$2</f>
        <v/>
      </c>
      <c r="AC83" s="26">
        <f>($U$3/$U$5)*EXP(-AB83*$U$5/$U$6)</f>
        <v/>
      </c>
      <c r="AD83" s="26">
        <f>-$U$3*EXP(-AB83*$U$5/$U$6)</f>
        <v/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29">
        <f>AW82+$AV$2</f>
        <v/>
      </c>
      <c r="AX83" s="26">
        <f>($AP$3/$AP$5)*EXP(-AW83*$AP$5/$AP$6)</f>
        <v/>
      </c>
      <c r="AY83" s="26">
        <f>-$AP$3*EXP(-AW83*$AP$5/$AP$6)</f>
        <v/>
      </c>
      <c r="AZ83" s="5" t="n"/>
      <c r="BA83" s="5" t="n"/>
      <c r="BB83" s="5" t="n"/>
      <c r="BC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8">
        <f>I83+$H$2</f>
        <v/>
      </c>
      <c r="J84" s="23">
        <f>($B$3/$B$5)*EXP(-I84*$B$5/$B$6)</f>
        <v/>
      </c>
      <c r="K84" s="23">
        <f>-$B$3*EXP(-I84*$B$5/$B$6)</f>
        <v/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28">
        <f>AB83+$AA$2</f>
        <v/>
      </c>
      <c r="AC84" s="23">
        <f>($U$3/$U$5)*EXP(-AB84*$U$5/$U$6)</f>
        <v/>
      </c>
      <c r="AD84" s="23">
        <f>-$U$3*EXP(-AB84*$U$5/$U$6)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28">
        <f>AW83+$AV$2</f>
        <v/>
      </c>
      <c r="AX84" s="23">
        <f>($AP$3/$AP$5)*EXP(-AW84*$AP$5/$AP$6)</f>
        <v/>
      </c>
      <c r="AY84" s="23">
        <f>-$AP$3*EXP(-AW84*$AP$5/$AP$6)</f>
        <v/>
      </c>
      <c r="AZ84" s="5" t="n"/>
      <c r="BA84" s="5" t="n"/>
      <c r="BB84" s="5" t="n"/>
      <c r="BC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9">
        <f>I84+$H$2</f>
        <v/>
      </c>
      <c r="J85" s="26">
        <f>($B$3/$B$5)*EXP(-I85*$B$5/$B$6)</f>
        <v/>
      </c>
      <c r="K85" s="26">
        <f>-$B$3*EXP(-I85*$B$5/$B$6)</f>
        <v/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29">
        <f>AB84+$AA$2</f>
        <v/>
      </c>
      <c r="AC85" s="26">
        <f>($U$3/$U$5)*EXP(-AB85*$U$5/$U$6)</f>
        <v/>
      </c>
      <c r="AD85" s="26">
        <f>-$U$3*EXP(-AB85*$U$5/$U$6)</f>
        <v/>
      </c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29">
        <f>AW84+$AV$2</f>
        <v/>
      </c>
      <c r="AX85" s="26">
        <f>($AP$3/$AP$5)*EXP(-AW85*$AP$5/$AP$6)</f>
        <v/>
      </c>
      <c r="AY85" s="26">
        <f>-$AP$3*EXP(-AW85*$AP$5/$AP$6)</f>
        <v/>
      </c>
      <c r="AZ85" s="5" t="n"/>
      <c r="BA85" s="5" t="n"/>
      <c r="BB85" s="5" t="n"/>
      <c r="BC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8">
        <f>I85+$H$2</f>
        <v/>
      </c>
      <c r="J86" s="23">
        <f>($B$3/$B$5)*EXP(-I86*$B$5/$B$6)</f>
        <v/>
      </c>
      <c r="K86" s="23">
        <f>-$B$3*EXP(-I86*$B$5/$B$6)</f>
        <v/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28">
        <f>AB85+$AA$2</f>
        <v/>
      </c>
      <c r="AC86" s="23">
        <f>($U$3/$U$5)*EXP(-AB86*$U$5/$U$6)</f>
        <v/>
      </c>
      <c r="AD86" s="23">
        <f>-$U$3*EXP(-AB86*$U$5/$U$6)</f>
        <v/>
      </c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28">
        <f>AW85+$AV$2</f>
        <v/>
      </c>
      <c r="AX86" s="23">
        <f>($AP$3/$AP$5)*EXP(-AW86*$AP$5/$AP$6)</f>
        <v/>
      </c>
      <c r="AY86" s="23">
        <f>-$AP$3*EXP(-AW86*$AP$5/$AP$6)</f>
        <v/>
      </c>
      <c r="AZ86" s="5" t="n"/>
      <c r="BA86" s="5" t="n"/>
      <c r="BB86" s="5" t="n"/>
      <c r="BC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9">
        <f>I86+$H$2</f>
        <v/>
      </c>
      <c r="J87" s="26">
        <f>($B$3/$B$5)*EXP(-I87*$B$5/$B$6)</f>
        <v/>
      </c>
      <c r="K87" s="26">
        <f>-$B$3*EXP(-I87*$B$5/$B$6)</f>
        <v/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29">
        <f>AB86+$AA$2</f>
        <v/>
      </c>
      <c r="AC87" s="26">
        <f>($U$3/$U$5)*EXP(-AB87*$U$5/$U$6)</f>
        <v/>
      </c>
      <c r="AD87" s="26">
        <f>-$U$3*EXP(-AB87*$U$5/$U$6)</f>
        <v/>
      </c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29">
        <f>AW86+$AV$2</f>
        <v/>
      </c>
      <c r="AX87" s="26">
        <f>($AP$3/$AP$5)*EXP(-AW87*$AP$5/$AP$6)</f>
        <v/>
      </c>
      <c r="AY87" s="26">
        <f>-$AP$3*EXP(-AW87*$AP$5/$AP$6)</f>
        <v/>
      </c>
      <c r="AZ87" s="5" t="n"/>
      <c r="BA87" s="5" t="n"/>
      <c r="BB87" s="5" t="n"/>
      <c r="BC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8">
        <f>I87+$H$2</f>
        <v/>
      </c>
      <c r="J88" s="23">
        <f>($B$3/$B$5)*EXP(-I88*$B$5/$B$6)</f>
        <v/>
      </c>
      <c r="K88" s="23">
        <f>-$B$3*EXP(-I88*$B$5/$B$6)</f>
        <v/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28">
        <f>AB87+$AA$2</f>
        <v/>
      </c>
      <c r="AC88" s="23">
        <f>($U$3/$U$5)*EXP(-AB88*$U$5/$U$6)</f>
        <v/>
      </c>
      <c r="AD88" s="23">
        <f>-$U$3*EXP(-AB88*$U$5/$U$6)</f>
        <v/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28">
        <f>AW87+$AV$2</f>
        <v/>
      </c>
      <c r="AX88" s="23">
        <f>($AP$3/$AP$5)*EXP(-AW88*$AP$5/$AP$6)</f>
        <v/>
      </c>
      <c r="AY88" s="23">
        <f>-$AP$3*EXP(-AW88*$AP$5/$AP$6)</f>
        <v/>
      </c>
      <c r="AZ88" s="5" t="n"/>
      <c r="BA88" s="5" t="n"/>
      <c r="BB88" s="5" t="n"/>
      <c r="BC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9">
        <f>I88+$H$2</f>
        <v/>
      </c>
      <c r="J89" s="26">
        <f>($B$3/$B$5)*EXP(-I89*$B$5/$B$6)</f>
        <v/>
      </c>
      <c r="K89" s="26">
        <f>-$B$3*EXP(-I89*$B$5/$B$6)</f>
        <v/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29">
        <f>AB88+$AA$2</f>
        <v/>
      </c>
      <c r="AC89" s="26">
        <f>($U$3/$U$5)*EXP(-AB89*$U$5/$U$6)</f>
        <v/>
      </c>
      <c r="AD89" s="26">
        <f>-$U$3*EXP(-AB89*$U$5/$U$6)</f>
        <v/>
      </c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29">
        <f>AW88+$AV$2</f>
        <v/>
      </c>
      <c r="AX89" s="26">
        <f>($AP$3/$AP$5)*EXP(-AW89*$AP$5/$AP$6)</f>
        <v/>
      </c>
      <c r="AY89" s="26">
        <f>-$AP$3*EXP(-AW89*$AP$5/$AP$6)</f>
        <v/>
      </c>
      <c r="AZ89" s="5" t="n"/>
      <c r="BA89" s="5" t="n"/>
      <c r="BB89" s="5" t="n"/>
      <c r="BC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8">
        <f>I89+$H$2</f>
        <v/>
      </c>
      <c r="J90" s="23">
        <f>($B$3/$B$5)*EXP(-I90*$B$5/$B$6)</f>
        <v/>
      </c>
      <c r="K90" s="23">
        <f>-$B$3*EXP(-I90*$B$5/$B$6)</f>
        <v/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28">
        <f>AB89+$AA$2</f>
        <v/>
      </c>
      <c r="AC90" s="23">
        <f>($U$3/$U$5)*EXP(-AB90*$U$5/$U$6)</f>
        <v/>
      </c>
      <c r="AD90" s="23">
        <f>-$U$3*EXP(-AB90*$U$5/$U$6)</f>
        <v/>
      </c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28">
        <f>AW89+$AV$2</f>
        <v/>
      </c>
      <c r="AX90" s="23">
        <f>($AP$3/$AP$5)*EXP(-AW90*$AP$5/$AP$6)</f>
        <v/>
      </c>
      <c r="AY90" s="23">
        <f>-$AP$3*EXP(-AW90*$AP$5/$AP$6)</f>
        <v/>
      </c>
      <c r="AZ90" s="5" t="n"/>
      <c r="BA90" s="5" t="n"/>
      <c r="BB90" s="5" t="n"/>
      <c r="BC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9">
        <f>I90+$H$2</f>
        <v/>
      </c>
      <c r="J91" s="26">
        <f>($B$3/$B$5)*EXP(-I91*$B$5/$B$6)</f>
        <v/>
      </c>
      <c r="K91" s="26">
        <f>-$B$3*EXP(-I91*$B$5/$B$6)</f>
        <v/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29">
        <f>AB90+$AA$2</f>
        <v/>
      </c>
      <c r="AC91" s="26">
        <f>($U$3/$U$5)*EXP(-AB91*$U$5/$U$6)</f>
        <v/>
      </c>
      <c r="AD91" s="26">
        <f>-$U$3*EXP(-AB91*$U$5/$U$6)</f>
        <v/>
      </c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29">
        <f>AW90+$AV$2</f>
        <v/>
      </c>
      <c r="AX91" s="26">
        <f>($AP$3/$AP$5)*EXP(-AW91*$AP$5/$AP$6)</f>
        <v/>
      </c>
      <c r="AY91" s="26">
        <f>-$AP$3*EXP(-AW91*$AP$5/$AP$6)</f>
        <v/>
      </c>
      <c r="AZ91" s="5" t="n"/>
      <c r="BA91" s="5" t="n"/>
      <c r="BB91" s="5" t="n"/>
      <c r="BC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8">
        <f>I91+$H$2</f>
        <v/>
      </c>
      <c r="J92" s="23">
        <f>($B$3/$B$5)*EXP(-I92*$B$5/$B$6)</f>
        <v/>
      </c>
      <c r="K92" s="23">
        <f>-$B$3*EXP(-I92*$B$5/$B$6)</f>
        <v/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28">
        <f>AB91+$AA$2</f>
        <v/>
      </c>
      <c r="AC92" s="23">
        <f>($U$3/$U$5)*EXP(-AB92*$U$5/$U$6)</f>
        <v/>
      </c>
      <c r="AD92" s="23">
        <f>-$U$3*EXP(-AB92*$U$5/$U$6)</f>
        <v/>
      </c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28">
        <f>AW91+$AV$2</f>
        <v/>
      </c>
      <c r="AX92" s="23">
        <f>($AP$3/$AP$5)*EXP(-AW92*$AP$5/$AP$6)</f>
        <v/>
      </c>
      <c r="AY92" s="23">
        <f>-$AP$3*EXP(-AW92*$AP$5/$AP$6)</f>
        <v/>
      </c>
      <c r="AZ92" s="5" t="n"/>
      <c r="BA92" s="5" t="n"/>
      <c r="BB92" s="5" t="n"/>
      <c r="BC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9">
        <f>I92+$H$2</f>
        <v/>
      </c>
      <c r="J93" s="26">
        <f>($B$3/$B$5)*EXP(-I93*$B$5/$B$6)</f>
        <v/>
      </c>
      <c r="K93" s="26">
        <f>-$B$3*EXP(-I93*$B$5/$B$6)</f>
        <v/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29">
        <f>AB92+$AA$2</f>
        <v/>
      </c>
      <c r="AC93" s="26">
        <f>($U$3/$U$5)*EXP(-AB93*$U$5/$U$6)</f>
        <v/>
      </c>
      <c r="AD93" s="26">
        <f>-$U$3*EXP(-AB93*$U$5/$U$6)</f>
        <v/>
      </c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29">
        <f>AW92+$AV$2</f>
        <v/>
      </c>
      <c r="AX93" s="26">
        <f>($AP$3/$AP$5)*EXP(-AW93*$AP$5/$AP$6)</f>
        <v/>
      </c>
      <c r="AY93" s="26">
        <f>-$AP$3*EXP(-AW93*$AP$5/$AP$6)</f>
        <v/>
      </c>
      <c r="AZ93" s="5" t="n"/>
      <c r="BA93" s="5" t="n"/>
      <c r="BB93" s="5" t="n"/>
      <c r="BC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8">
        <f>I93+$H$2</f>
        <v/>
      </c>
      <c r="J94" s="23">
        <f>($B$3/$B$5)*EXP(-I94*$B$5/$B$6)</f>
        <v/>
      </c>
      <c r="K94" s="23">
        <f>-$B$3*EXP(-I94*$B$5/$B$6)</f>
        <v/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28">
        <f>AB93+$AA$2</f>
        <v/>
      </c>
      <c r="AC94" s="23">
        <f>($U$3/$U$5)*EXP(-AB94*$U$5/$U$6)</f>
        <v/>
      </c>
      <c r="AD94" s="23">
        <f>-$U$3*EXP(-AB94*$U$5/$U$6)</f>
        <v/>
      </c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28">
        <f>AW93+$AV$2</f>
        <v/>
      </c>
      <c r="AX94" s="23">
        <f>($AP$3/$AP$5)*EXP(-AW94*$AP$5/$AP$6)</f>
        <v/>
      </c>
      <c r="AY94" s="23">
        <f>-$AP$3*EXP(-AW94*$AP$5/$AP$6)</f>
        <v/>
      </c>
      <c r="AZ94" s="5" t="n"/>
      <c r="BA94" s="5" t="n"/>
      <c r="BB94" s="5" t="n"/>
      <c r="BC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9">
        <f>I94+$H$2</f>
        <v/>
      </c>
      <c r="J95" s="26">
        <f>($B$3/$B$5)*EXP(-I95*$B$5/$B$6)</f>
        <v/>
      </c>
      <c r="K95" s="26">
        <f>-$B$3*EXP(-I95*$B$5/$B$6)</f>
        <v/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29">
        <f>AB94+$AA$2</f>
        <v/>
      </c>
      <c r="AC95" s="26">
        <f>($U$3/$U$5)*EXP(-AB95*$U$5/$U$6)</f>
        <v/>
      </c>
      <c r="AD95" s="26">
        <f>-$U$3*EXP(-AB95*$U$5/$U$6)</f>
        <v/>
      </c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29">
        <f>AW94+$AV$2</f>
        <v/>
      </c>
      <c r="AX95" s="26">
        <f>($AP$3/$AP$5)*EXP(-AW95*$AP$5/$AP$6)</f>
        <v/>
      </c>
      <c r="AY95" s="26">
        <f>-$AP$3*EXP(-AW95*$AP$5/$AP$6)</f>
        <v/>
      </c>
      <c r="AZ95" s="5" t="n"/>
      <c r="BA95" s="5" t="n"/>
      <c r="BB95" s="5" t="n"/>
      <c r="BC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8">
        <f>I95+$H$2</f>
        <v/>
      </c>
      <c r="J96" s="23">
        <f>($B$3/$B$5)*EXP(-I96*$B$5/$B$6)</f>
        <v/>
      </c>
      <c r="K96" s="23">
        <f>-$B$3*EXP(-I96*$B$5/$B$6)</f>
        <v/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28">
        <f>AB95+$AA$2</f>
        <v/>
      </c>
      <c r="AC96" s="23">
        <f>($U$3/$U$5)*EXP(-AB96*$U$5/$U$6)</f>
        <v/>
      </c>
      <c r="AD96" s="23">
        <f>-$U$3*EXP(-AB96*$U$5/$U$6)</f>
        <v/>
      </c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28">
        <f>AW95+$AV$2</f>
        <v/>
      </c>
      <c r="AX96" s="23">
        <f>($AP$3/$AP$5)*EXP(-AW96*$AP$5/$AP$6)</f>
        <v/>
      </c>
      <c r="AY96" s="23">
        <f>-$AP$3*EXP(-AW96*$AP$5/$AP$6)</f>
        <v/>
      </c>
      <c r="AZ96" s="5" t="n"/>
      <c r="BA96" s="5" t="n"/>
      <c r="BB96" s="5" t="n"/>
      <c r="BC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9">
        <f>I96+$H$2</f>
        <v/>
      </c>
      <c r="J97" s="26">
        <f>($B$3/$B$5)*EXP(-I97*$B$5/$B$6)</f>
        <v/>
      </c>
      <c r="K97" s="26">
        <f>-$B$3*EXP(-I97*$B$5/$B$6)</f>
        <v/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29">
        <f>AB96+$AA$2</f>
        <v/>
      </c>
      <c r="AC97" s="26">
        <f>($U$3/$U$5)*EXP(-AB97*$U$5/$U$6)</f>
        <v/>
      </c>
      <c r="AD97" s="26">
        <f>-$U$3*EXP(-AB97*$U$5/$U$6)</f>
        <v/>
      </c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29">
        <f>AW96+$AV$2</f>
        <v/>
      </c>
      <c r="AX97" s="26">
        <f>($AP$3/$AP$5)*EXP(-AW97*$AP$5/$AP$6)</f>
        <v/>
      </c>
      <c r="AY97" s="26">
        <f>-$AP$3*EXP(-AW97*$AP$5/$AP$6)</f>
        <v/>
      </c>
      <c r="AZ97" s="5" t="n"/>
      <c r="BA97" s="5" t="n"/>
      <c r="BB97" s="5" t="n"/>
      <c r="BC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8">
        <f>I97+$H$2</f>
        <v/>
      </c>
      <c r="J98" s="23">
        <f>($B$3/$B$5)*EXP(-I98*$B$5/$B$6)</f>
        <v/>
      </c>
      <c r="K98" s="23">
        <f>-$B$3*EXP(-I98*$B$5/$B$6)</f>
        <v/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28">
        <f>AB97+$AA$2</f>
        <v/>
      </c>
      <c r="AC98" s="23">
        <f>($U$3/$U$5)*EXP(-AB98*$U$5/$U$6)</f>
        <v/>
      </c>
      <c r="AD98" s="23">
        <f>-$U$3*EXP(-AB98*$U$5/$U$6)</f>
        <v/>
      </c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28">
        <f>AW97+$AV$2</f>
        <v/>
      </c>
      <c r="AX98" s="23">
        <f>($AP$3/$AP$5)*EXP(-AW98*$AP$5/$AP$6)</f>
        <v/>
      </c>
      <c r="AY98" s="23">
        <f>-$AP$3*EXP(-AW98*$AP$5/$AP$6)</f>
        <v/>
      </c>
      <c r="AZ98" s="5" t="n"/>
      <c r="BA98" s="5" t="n"/>
      <c r="BB98" s="5" t="n"/>
      <c r="BC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9">
        <f>I98+$H$2</f>
        <v/>
      </c>
      <c r="J99" s="26">
        <f>($B$3/$B$5)*EXP(-I99*$B$5/$B$6)</f>
        <v/>
      </c>
      <c r="K99" s="26">
        <f>-$B$3*EXP(-I99*$B$5/$B$6)</f>
        <v/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29">
        <f>AB98+$AA$2</f>
        <v/>
      </c>
      <c r="AC99" s="26">
        <f>($U$3/$U$5)*EXP(-AB99*$U$5/$U$6)</f>
        <v/>
      </c>
      <c r="AD99" s="26">
        <f>-$U$3*EXP(-AB99*$U$5/$U$6)</f>
        <v/>
      </c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29">
        <f>AW98+$AV$2</f>
        <v/>
      </c>
      <c r="AX99" s="26">
        <f>($AP$3/$AP$5)*EXP(-AW99*$AP$5/$AP$6)</f>
        <v/>
      </c>
      <c r="AY99" s="26">
        <f>-$AP$3*EXP(-AW99*$AP$5/$AP$6)</f>
        <v/>
      </c>
      <c r="AZ99" s="5" t="n"/>
      <c r="BA99" s="5" t="n"/>
      <c r="BB99" s="5" t="n"/>
      <c r="BC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8">
        <f>I99+$H$2</f>
        <v/>
      </c>
      <c r="J100" s="23">
        <f>($B$3/$B$5)*EXP(-I100*$B$5/$B$6)</f>
        <v/>
      </c>
      <c r="K100" s="23">
        <f>-$B$3*EXP(-I100*$B$5/$B$6)</f>
        <v/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28">
        <f>AB99+$AA$2</f>
        <v/>
      </c>
      <c r="AC100" s="23">
        <f>($U$3/$U$5)*EXP(-AB100*$U$5/$U$6)</f>
        <v/>
      </c>
      <c r="AD100" s="23">
        <f>-$U$3*EXP(-AB100*$U$5/$U$6)</f>
        <v/>
      </c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28">
        <f>AW99+$AV$2</f>
        <v/>
      </c>
      <c r="AX100" s="23">
        <f>($AP$3/$AP$5)*EXP(-AW100*$AP$5/$AP$6)</f>
        <v/>
      </c>
      <c r="AY100" s="23">
        <f>-$AP$3*EXP(-AW100*$AP$5/$AP$6)</f>
        <v/>
      </c>
      <c r="AZ100" s="5" t="n"/>
      <c r="BA100" s="5" t="n"/>
      <c r="BB100" s="5" t="n"/>
      <c r="BC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9">
        <f>I100+$H$2</f>
        <v/>
      </c>
      <c r="J101" s="26">
        <f>($B$3/$B$5)*EXP(-I101*$B$5/$B$6)</f>
        <v/>
      </c>
      <c r="K101" s="26">
        <f>-$B$3*EXP(-I101*$B$5/$B$6)</f>
        <v/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29">
        <f>AB100+$AA$2</f>
        <v/>
      </c>
      <c r="AC101" s="26">
        <f>($U$3/$U$5)*EXP(-AB101*$U$5/$U$6)</f>
        <v/>
      </c>
      <c r="AD101" s="26">
        <f>-$U$3*EXP(-AB101*$U$5/$U$6)</f>
        <v/>
      </c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29">
        <f>AW100+$AV$2</f>
        <v/>
      </c>
      <c r="AX101" s="26">
        <f>($AP$3/$AP$5)*EXP(-AW101*$AP$5/$AP$6)</f>
        <v/>
      </c>
      <c r="AY101" s="26">
        <f>-$AP$3*EXP(-AW101*$AP$5/$AP$6)</f>
        <v/>
      </c>
      <c r="AZ101" s="5" t="n"/>
      <c r="BA101" s="5" t="n"/>
      <c r="BB101" s="5" t="n"/>
      <c r="BC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8">
        <f>I101+$H$2</f>
        <v/>
      </c>
      <c r="J102" s="23">
        <f>($B$3/$B$5)*EXP(-I102*$B$5/$B$6)</f>
        <v/>
      </c>
      <c r="K102" s="23">
        <f>-$B$3*EXP(-I102*$B$5/$B$6)</f>
        <v/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28">
        <f>AB101+$AA$2</f>
        <v/>
      </c>
      <c r="AC102" s="23">
        <f>($U$3/$U$5)*EXP(-AB102*$U$5/$U$6)</f>
        <v/>
      </c>
      <c r="AD102" s="23">
        <f>-$U$3*EXP(-AB102*$U$5/$U$6)</f>
        <v/>
      </c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28">
        <f>AW101+$AV$2</f>
        <v/>
      </c>
      <c r="AX102" s="23">
        <f>($AP$3/$AP$5)*EXP(-AW102*$AP$5/$AP$6)</f>
        <v/>
      </c>
      <c r="AY102" s="23">
        <f>-$AP$3*EXP(-AW102*$AP$5/$AP$6)</f>
        <v/>
      </c>
      <c r="AZ102" s="5" t="n"/>
      <c r="BA102" s="5" t="n"/>
      <c r="BB102" s="5" t="n"/>
      <c r="BC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9">
        <f>I102+$H$2</f>
        <v/>
      </c>
      <c r="J103" s="26">
        <f>($B$3/$B$5)*EXP(-I103*$B$5/$B$6)</f>
        <v/>
      </c>
      <c r="K103" s="26">
        <f>-$B$3*EXP(-I103*$B$5/$B$6)</f>
        <v/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29">
        <f>AB102+$AA$2</f>
        <v/>
      </c>
      <c r="AC103" s="26">
        <f>($U$3/$U$5)*EXP(-AB103*$U$5/$U$6)</f>
        <v/>
      </c>
      <c r="AD103" s="26">
        <f>-$U$3*EXP(-AB103*$U$5/$U$6)</f>
        <v/>
      </c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29">
        <f>AW102+$AV$2</f>
        <v/>
      </c>
      <c r="AX103" s="26">
        <f>($AP$3/$AP$5)*EXP(-AW103*$AP$5/$AP$6)</f>
        <v/>
      </c>
      <c r="AY103" s="26">
        <f>-$AP$3*EXP(-AW103*$AP$5/$AP$6)</f>
        <v/>
      </c>
      <c r="AZ103" s="5" t="n"/>
      <c r="BA103" s="5" t="n"/>
      <c r="BB103" s="5" t="n"/>
      <c r="BC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8">
        <f>I103+$H$2</f>
        <v/>
      </c>
      <c r="J104" s="23">
        <f>($B$3/$B$5)*EXP(-I104*$B$5/$B$6)</f>
        <v/>
      </c>
      <c r="K104" s="23">
        <f>-$B$3*EXP(-I104*$B$5/$B$6)</f>
        <v/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28">
        <f>AB103+$AA$2</f>
        <v/>
      </c>
      <c r="AC104" s="23">
        <f>($U$3/$U$5)*EXP(-AB104*$U$5/$U$6)</f>
        <v/>
      </c>
      <c r="AD104" s="23">
        <f>-$U$3*EXP(-AB104*$U$5/$U$6)</f>
        <v/>
      </c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28">
        <f>AW103+$AV$2</f>
        <v/>
      </c>
      <c r="AX104" s="23">
        <f>($AP$3/$AP$5)*EXP(-AW104*$AP$5/$AP$6)</f>
        <v/>
      </c>
      <c r="AY104" s="23">
        <f>-$AP$3*EXP(-AW104*$AP$5/$AP$6)</f>
        <v/>
      </c>
      <c r="AZ104" s="5" t="n"/>
      <c r="BA104" s="5" t="n"/>
      <c r="BB104" s="5" t="n"/>
      <c r="BC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9">
        <f>I104+$H$2</f>
        <v/>
      </c>
      <c r="J105" s="26">
        <f>($B$3/$B$5)*EXP(-I105*$B$5/$B$6)</f>
        <v/>
      </c>
      <c r="K105" s="26">
        <f>-$B$3*EXP(-I105*$B$5/$B$6)</f>
        <v/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29">
        <f>AB104+$AA$2</f>
        <v/>
      </c>
      <c r="AC105" s="26">
        <f>($U$3/$U$5)*EXP(-AB105*$U$5/$U$6)</f>
        <v/>
      </c>
      <c r="AD105" s="26">
        <f>-$U$3*EXP(-AB105*$U$5/$U$6)</f>
        <v/>
      </c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29">
        <f>AW104+$AV$2</f>
        <v/>
      </c>
      <c r="AX105" s="26">
        <f>($AP$3/$AP$5)*EXP(-AW105*$AP$5/$AP$6)</f>
        <v/>
      </c>
      <c r="AY105" s="26">
        <f>-$AP$3*EXP(-AW105*$AP$5/$AP$6)</f>
        <v/>
      </c>
      <c r="AZ105" s="5" t="n"/>
      <c r="BA105" s="5" t="n"/>
      <c r="BB105" s="5" t="n"/>
      <c r="BC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8">
        <f>I105+$H$2</f>
        <v/>
      </c>
      <c r="J106" s="23">
        <f>($B$3/$B$5)*EXP(-I106*$B$5/$B$6)</f>
        <v/>
      </c>
      <c r="K106" s="23">
        <f>-$B$3*EXP(-I106*$B$5/$B$6)</f>
        <v/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28">
        <f>AB105+$AA$2</f>
        <v/>
      </c>
      <c r="AC106" s="23">
        <f>($U$3/$U$5)*EXP(-AB106*$U$5/$U$6)</f>
        <v/>
      </c>
      <c r="AD106" s="23">
        <f>-$U$3*EXP(-AB106*$U$5/$U$6)</f>
        <v/>
      </c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28">
        <f>AW105+$AV$2</f>
        <v/>
      </c>
      <c r="AX106" s="23">
        <f>($AP$3/$AP$5)*EXP(-AW106*$AP$5/$AP$6)</f>
        <v/>
      </c>
      <c r="AY106" s="23">
        <f>-$AP$3*EXP(-AW106*$AP$5/$AP$6)</f>
        <v/>
      </c>
      <c r="AZ106" s="5" t="n"/>
      <c r="BA106" s="5" t="n"/>
      <c r="BB106" s="5" t="n"/>
      <c r="BC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9">
        <f>I106+$H$2</f>
        <v/>
      </c>
      <c r="J107" s="26">
        <f>($B$3/$B$5)*EXP(-I107*$B$5/$B$6)</f>
        <v/>
      </c>
      <c r="K107" s="26">
        <f>-$B$3*EXP(-I107*$B$5/$B$6)</f>
        <v/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29">
        <f>AB106+$AA$2</f>
        <v/>
      </c>
      <c r="AC107" s="26">
        <f>($U$3/$U$5)*EXP(-AB107*$U$5/$U$6)</f>
        <v/>
      </c>
      <c r="AD107" s="26">
        <f>-$U$3*EXP(-AB107*$U$5/$U$6)</f>
        <v/>
      </c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29">
        <f>AW106+$AV$2</f>
        <v/>
      </c>
      <c r="AX107" s="26">
        <f>($AP$3/$AP$5)*EXP(-AW107*$AP$5/$AP$6)</f>
        <v/>
      </c>
      <c r="AY107" s="26">
        <f>-$AP$3*EXP(-AW107*$AP$5/$AP$6)</f>
        <v/>
      </c>
      <c r="AZ107" s="5" t="n"/>
      <c r="BA107" s="5" t="n"/>
      <c r="BB107" s="5" t="n"/>
      <c r="BC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8">
        <f>I107+$H$2</f>
        <v/>
      </c>
      <c r="J108" s="23">
        <f>($B$3/$B$5)*EXP(-I108*$B$5/$B$6)</f>
        <v/>
      </c>
      <c r="K108" s="23">
        <f>-$B$3*EXP(-I108*$B$5/$B$6)</f>
        <v/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28">
        <f>AB107+$AA$2</f>
        <v/>
      </c>
      <c r="AC108" s="23">
        <f>($U$3/$U$5)*EXP(-AB108*$U$5/$U$6)</f>
        <v/>
      </c>
      <c r="AD108" s="23">
        <f>-$U$3*EXP(-AB108*$U$5/$U$6)</f>
        <v/>
      </c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28">
        <f>AW107+$AV$2</f>
        <v/>
      </c>
      <c r="AX108" s="23">
        <f>($AP$3/$AP$5)*EXP(-AW108*$AP$5/$AP$6)</f>
        <v/>
      </c>
      <c r="AY108" s="23">
        <f>-$AP$3*EXP(-AW108*$AP$5/$AP$6)</f>
        <v/>
      </c>
      <c r="AZ108" s="5" t="n"/>
      <c r="BA108" s="5" t="n"/>
      <c r="BB108" s="5" t="n"/>
      <c r="BC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9">
        <f>I108+$H$2</f>
        <v/>
      </c>
      <c r="J109" s="26">
        <f>($B$3/$B$5)*EXP(-I109*$B$5/$B$6)</f>
        <v/>
      </c>
      <c r="K109" s="26">
        <f>-$B$3*EXP(-I109*$B$5/$B$6)</f>
        <v/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29">
        <f>AB108+$AA$2</f>
        <v/>
      </c>
      <c r="AC109" s="26">
        <f>($U$3/$U$5)*EXP(-AB109*$U$5/$U$6)</f>
        <v/>
      </c>
      <c r="AD109" s="26">
        <f>-$U$3*EXP(-AB109*$U$5/$U$6)</f>
        <v/>
      </c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29">
        <f>AW108+$AV$2</f>
        <v/>
      </c>
      <c r="AX109" s="26">
        <f>($AP$3/$AP$5)*EXP(-AW109*$AP$5/$AP$6)</f>
        <v/>
      </c>
      <c r="AY109" s="26">
        <f>-$AP$3*EXP(-AW109*$AP$5/$AP$6)</f>
        <v/>
      </c>
      <c r="AZ109" s="5" t="n"/>
      <c r="BA109" s="5" t="n"/>
      <c r="BB109" s="5" t="n"/>
      <c r="BC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8">
        <f>I109+$H$2</f>
        <v/>
      </c>
      <c r="J110" s="23">
        <f>($B$3/$B$5)*EXP(-I110*$B$5/$B$6)</f>
        <v/>
      </c>
      <c r="K110" s="23">
        <f>-$B$3*EXP(-I110*$B$5/$B$6)</f>
        <v/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28">
        <f>AB109+$AA$2</f>
        <v/>
      </c>
      <c r="AC110" s="23">
        <f>($U$3/$U$5)*EXP(-AB110*$U$5/$U$6)</f>
        <v/>
      </c>
      <c r="AD110" s="23">
        <f>-$U$3*EXP(-AB110*$U$5/$U$6)</f>
        <v/>
      </c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28">
        <f>AW109+$AV$2</f>
        <v/>
      </c>
      <c r="AX110" s="23">
        <f>($AP$3/$AP$5)*EXP(-AW110*$AP$5/$AP$6)</f>
        <v/>
      </c>
      <c r="AY110" s="23">
        <f>-$AP$3*EXP(-AW110*$AP$5/$AP$6)</f>
        <v/>
      </c>
      <c r="AZ110" s="5" t="n"/>
      <c r="BA110" s="5" t="n"/>
      <c r="BB110" s="5" t="n"/>
      <c r="BC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9">
        <f>I110+$H$2</f>
        <v/>
      </c>
      <c r="J111" s="26">
        <f>($B$3/$B$5)*EXP(-I111*$B$5/$B$6)</f>
        <v/>
      </c>
      <c r="K111" s="26">
        <f>-$B$3*EXP(-I111*$B$5/$B$6)</f>
        <v/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29">
        <f>AB110+$AA$2</f>
        <v/>
      </c>
      <c r="AC111" s="26">
        <f>($U$3/$U$5)*EXP(-AB111*$U$5/$U$6)</f>
        <v/>
      </c>
      <c r="AD111" s="26">
        <f>-$U$3*EXP(-AB111*$U$5/$U$6)</f>
        <v/>
      </c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29">
        <f>AW110+$AV$2</f>
        <v/>
      </c>
      <c r="AX111" s="26">
        <f>($AP$3/$AP$5)*EXP(-AW111*$AP$5/$AP$6)</f>
        <v/>
      </c>
      <c r="AY111" s="26">
        <f>-$AP$3*EXP(-AW111*$AP$5/$AP$6)</f>
        <v/>
      </c>
      <c r="AZ111" s="5" t="n"/>
      <c r="BA111" s="5" t="n"/>
      <c r="BB111" s="5" t="n"/>
      <c r="BC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8">
        <f>I111+$H$2</f>
        <v/>
      </c>
      <c r="J112" s="23">
        <f>($B$3/$B$5)*EXP(-I112*$B$5/$B$6)</f>
        <v/>
      </c>
      <c r="K112" s="23">
        <f>-$B$3*EXP(-I112*$B$5/$B$6)</f>
        <v/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28">
        <f>AB111+$AA$2</f>
        <v/>
      </c>
      <c r="AC112" s="23">
        <f>($U$3/$U$5)*EXP(-AB112*$U$5/$U$6)</f>
        <v/>
      </c>
      <c r="AD112" s="23">
        <f>-$U$3*EXP(-AB112*$U$5/$U$6)</f>
        <v/>
      </c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28">
        <f>AW111+$AV$2</f>
        <v/>
      </c>
      <c r="AX112" s="23">
        <f>($AP$3/$AP$5)*EXP(-AW112*$AP$5/$AP$6)</f>
        <v/>
      </c>
      <c r="AY112" s="23">
        <f>-$AP$3*EXP(-AW112*$AP$5/$AP$6)</f>
        <v/>
      </c>
      <c r="AZ112" s="5" t="n"/>
      <c r="BA112" s="5" t="n"/>
      <c r="BB112" s="5" t="n"/>
      <c r="BC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9">
        <f>I112+$H$2</f>
        <v/>
      </c>
      <c r="J113" s="26">
        <f>($B$3/$B$5)*EXP(-I113*$B$5/$B$6)</f>
        <v/>
      </c>
      <c r="K113" s="26">
        <f>-$B$3*EXP(-I113*$B$5/$B$6)</f>
        <v/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29">
        <f>AB112+$AA$2</f>
        <v/>
      </c>
      <c r="AC113" s="26">
        <f>($U$3/$U$5)*EXP(-AB113*$U$5/$U$6)</f>
        <v/>
      </c>
      <c r="AD113" s="26">
        <f>-$U$3*EXP(-AB113*$U$5/$U$6)</f>
        <v/>
      </c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29">
        <f>AW112+$AV$2</f>
        <v/>
      </c>
      <c r="AX113" s="26">
        <f>($AP$3/$AP$5)*EXP(-AW113*$AP$5/$AP$6)</f>
        <v/>
      </c>
      <c r="AY113" s="26">
        <f>-$AP$3*EXP(-AW113*$AP$5/$AP$6)</f>
        <v/>
      </c>
      <c r="AZ113" s="5" t="n"/>
      <c r="BA113" s="5" t="n"/>
      <c r="BB113" s="5" t="n"/>
      <c r="BC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8">
        <f>I113+$H$2</f>
        <v/>
      </c>
      <c r="J114" s="23">
        <f>($B$3/$B$5)*EXP(-I114*$B$5/$B$6)</f>
        <v/>
      </c>
      <c r="K114" s="23">
        <f>-$B$3*EXP(-I114*$B$5/$B$6)</f>
        <v/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28">
        <f>AB113+$AA$2</f>
        <v/>
      </c>
      <c r="AC114" s="23">
        <f>($U$3/$U$5)*EXP(-AB114*$U$5/$U$6)</f>
        <v/>
      </c>
      <c r="AD114" s="23">
        <f>-$U$3*EXP(-AB114*$U$5/$U$6)</f>
        <v/>
      </c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28">
        <f>AW113+$AV$2</f>
        <v/>
      </c>
      <c r="AX114" s="23">
        <f>($AP$3/$AP$5)*EXP(-AW114*$AP$5/$AP$6)</f>
        <v/>
      </c>
      <c r="AY114" s="23">
        <f>-$AP$3*EXP(-AW114*$AP$5/$AP$6)</f>
        <v/>
      </c>
      <c r="AZ114" s="5" t="n"/>
      <c r="BA114" s="5" t="n"/>
      <c r="BB114" s="5" t="n"/>
      <c r="BC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9">
        <f>I114+$H$2</f>
        <v/>
      </c>
      <c r="J115" s="26">
        <f>($B$3/$B$5)*EXP(-I115*$B$5/$B$6)</f>
        <v/>
      </c>
      <c r="K115" s="26">
        <f>-$B$3*EXP(-I115*$B$5/$B$6)</f>
        <v/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29">
        <f>AB114+$AA$2</f>
        <v/>
      </c>
      <c r="AC115" s="26">
        <f>($U$3/$U$5)*EXP(-AB115*$U$5/$U$6)</f>
        <v/>
      </c>
      <c r="AD115" s="26">
        <f>-$U$3*EXP(-AB115*$U$5/$U$6)</f>
        <v/>
      </c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29">
        <f>AW114+$AV$2</f>
        <v/>
      </c>
      <c r="AX115" s="26">
        <f>($AP$3/$AP$5)*EXP(-AW115*$AP$5/$AP$6)</f>
        <v/>
      </c>
      <c r="AY115" s="26">
        <f>-$AP$3*EXP(-AW115*$AP$5/$AP$6)</f>
        <v/>
      </c>
      <c r="AZ115" s="5" t="n"/>
      <c r="BA115" s="5" t="n"/>
      <c r="BB115" s="5" t="n"/>
      <c r="BC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8">
        <f>I115+$H$2</f>
        <v/>
      </c>
      <c r="J116" s="23">
        <f>($B$3/$B$5)*EXP(-I116*$B$5/$B$6)</f>
        <v/>
      </c>
      <c r="K116" s="23">
        <f>-$B$3*EXP(-I116*$B$5/$B$6)</f>
        <v/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28">
        <f>AB115+$AA$2</f>
        <v/>
      </c>
      <c r="AC116" s="23">
        <f>($U$3/$U$5)*EXP(-AB116*$U$5/$U$6)</f>
        <v/>
      </c>
      <c r="AD116" s="23">
        <f>-$U$3*EXP(-AB116*$U$5/$U$6)</f>
        <v/>
      </c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28">
        <f>AW115+$AV$2</f>
        <v/>
      </c>
      <c r="AX116" s="23">
        <f>($AP$3/$AP$5)*EXP(-AW116*$AP$5/$AP$6)</f>
        <v/>
      </c>
      <c r="AY116" s="23">
        <f>-$AP$3*EXP(-AW116*$AP$5/$AP$6)</f>
        <v/>
      </c>
      <c r="AZ116" s="5" t="n"/>
      <c r="BA116" s="5" t="n"/>
      <c r="BB116" s="5" t="n"/>
      <c r="BC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9">
        <f>I116+$H$2</f>
        <v/>
      </c>
      <c r="J117" s="26">
        <f>($B$3/$B$5)*EXP(-I117*$B$5/$B$6)</f>
        <v/>
      </c>
      <c r="K117" s="26">
        <f>-$B$3*EXP(-I117*$B$5/$B$6)</f>
        <v/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29">
        <f>AB116+$AA$2</f>
        <v/>
      </c>
      <c r="AC117" s="26">
        <f>($U$3/$U$5)*EXP(-AB117*$U$5/$U$6)</f>
        <v/>
      </c>
      <c r="AD117" s="26">
        <f>-$U$3*EXP(-AB117*$U$5/$U$6)</f>
        <v/>
      </c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29">
        <f>AW116+$AV$2</f>
        <v/>
      </c>
      <c r="AX117" s="26">
        <f>($AP$3/$AP$5)*EXP(-AW117*$AP$5/$AP$6)</f>
        <v/>
      </c>
      <c r="AY117" s="26">
        <f>-$AP$3*EXP(-AW117*$AP$5/$AP$6)</f>
        <v/>
      </c>
      <c r="AZ117" s="5" t="n"/>
      <c r="BA117" s="5" t="n"/>
      <c r="BB117" s="5" t="n"/>
      <c r="BC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8">
        <f>I117+$H$2</f>
        <v/>
      </c>
      <c r="J118" s="23">
        <f>($B$3/$B$5)*EXP(-I118*$B$5/$B$6)</f>
        <v/>
      </c>
      <c r="K118" s="23">
        <f>-$B$3*EXP(-I118*$B$5/$B$6)</f>
        <v/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28">
        <f>AB117+$AA$2</f>
        <v/>
      </c>
      <c r="AC118" s="23">
        <f>($U$3/$U$5)*EXP(-AB118*$U$5/$U$6)</f>
        <v/>
      </c>
      <c r="AD118" s="23">
        <f>-$U$3*EXP(-AB118*$U$5/$U$6)</f>
        <v/>
      </c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28">
        <f>AW117+$AV$2</f>
        <v/>
      </c>
      <c r="AX118" s="23">
        <f>($AP$3/$AP$5)*EXP(-AW118*$AP$5/$AP$6)</f>
        <v/>
      </c>
      <c r="AY118" s="23">
        <f>-$AP$3*EXP(-AW118*$AP$5/$AP$6)</f>
        <v/>
      </c>
      <c r="AZ118" s="5" t="n"/>
      <c r="BA118" s="5" t="n"/>
      <c r="BB118" s="5" t="n"/>
      <c r="BC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9">
        <f>I118+$H$2</f>
        <v/>
      </c>
      <c r="J119" s="26">
        <f>($B$3/$B$5)*EXP(-I119*$B$5/$B$6)</f>
        <v/>
      </c>
      <c r="K119" s="26">
        <f>-$B$3*EXP(-I119*$B$5/$B$6)</f>
        <v/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29">
        <f>AB118+$AA$2</f>
        <v/>
      </c>
      <c r="AC119" s="26">
        <f>($U$3/$U$5)*EXP(-AB119*$U$5/$U$6)</f>
        <v/>
      </c>
      <c r="AD119" s="26">
        <f>-$U$3*EXP(-AB119*$U$5/$U$6)</f>
        <v/>
      </c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29">
        <f>AW118+$AV$2</f>
        <v/>
      </c>
      <c r="AX119" s="26">
        <f>($AP$3/$AP$5)*EXP(-AW119*$AP$5/$AP$6)</f>
        <v/>
      </c>
      <c r="AY119" s="26">
        <f>-$AP$3*EXP(-AW119*$AP$5/$AP$6)</f>
        <v/>
      </c>
      <c r="AZ119" s="5" t="n"/>
      <c r="BA119" s="5" t="n"/>
      <c r="BB119" s="5" t="n"/>
      <c r="BC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8">
        <f>I119+$H$2</f>
        <v/>
      </c>
      <c r="J120" s="23">
        <f>($B$3/$B$5)*EXP(-I120*$B$5/$B$6)</f>
        <v/>
      </c>
      <c r="K120" s="23">
        <f>-$B$3*EXP(-I120*$B$5/$B$6)</f>
        <v/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28">
        <f>AB119+$AA$2</f>
        <v/>
      </c>
      <c r="AC120" s="23">
        <f>($U$3/$U$5)*EXP(-AB120*$U$5/$U$6)</f>
        <v/>
      </c>
      <c r="AD120" s="23">
        <f>-$U$3*EXP(-AB120*$U$5/$U$6)</f>
        <v/>
      </c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28">
        <f>AW119+$AV$2</f>
        <v/>
      </c>
      <c r="AX120" s="23">
        <f>($AP$3/$AP$5)*EXP(-AW120*$AP$5/$AP$6)</f>
        <v/>
      </c>
      <c r="AY120" s="23">
        <f>-$AP$3*EXP(-AW120*$AP$5/$AP$6)</f>
        <v/>
      </c>
      <c r="AZ120" s="5" t="n"/>
      <c r="BA120" s="5" t="n"/>
      <c r="BB120" s="5" t="n"/>
      <c r="BC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</row>
    <row r="130">
      <c r="A130" s="30" t="inlineStr">
        <is>
          <t>Что считается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</row>
    <row r="131">
      <c r="A131" s="31" t="inlineStr">
        <is>
          <t>заряд:   Iз=(E/r)*(1-EXP(-t*r/L)),   Uз=E*EXP(-t*r/L)</t>
        </is>
      </c>
      <c r="B131" s="32" t="n"/>
      <c r="C131" s="32" t="n"/>
      <c r="D131" s="32" t="n"/>
      <c r="E131" s="32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</row>
    <row r="132">
      <c r="A132" s="31" t="inlineStr">
        <is>
          <t>разряд: Iр=(E/R)*EXP(-t*R/L),   Uр=-E*EXP(-t*R/L)</t>
        </is>
      </c>
      <c r="B132" s="32" t="n"/>
      <c r="C132" s="32" t="n"/>
      <c r="D132" s="32" t="n"/>
      <c r="E132" s="32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</row>
    <row r="133">
      <c r="A133" s="31" t="inlineStr">
        <is>
          <t>L в ячейке B6:  =POWER(10,-4)*9   (это 9*10^(-4) Гн)</t>
        </is>
      </c>
      <c r="B133" s="32" t="n"/>
      <c r="C133" s="32" t="n"/>
      <c r="D133" s="32" t="n"/>
      <c r="E133" s="32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</row>
    <row r="134">
      <c r="A134" s="31" t="inlineStr">
        <is>
          <t>разряд на графике — строки 70:120, шаг 10*τр, иначе за 1 шаг заряда разряд уже кончился</t>
        </is>
      </c>
      <c r="B134" s="32" t="n"/>
      <c r="C134" s="32" t="n"/>
      <c r="D134" s="32" t="n"/>
      <c r="E134" s="32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</row>
    <row r="135">
      <c r="A135" s="31" t="inlineStr">
        <is>
          <t>оранжевые столбцы — ток, синие — напряжение</t>
        </is>
      </c>
      <c r="B135" s="32" t="n"/>
      <c r="C135" s="32" t="n"/>
      <c r="D135" s="32" t="n"/>
      <c r="E135" s="32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</row>
  </sheetData>
  <mergeCells count="16">
    <mergeCell ref="AT4:AU5"/>
    <mergeCell ref="A131:E131"/>
    <mergeCell ref="F4:G5"/>
    <mergeCell ref="T1:V1"/>
    <mergeCell ref="Y4:Z5"/>
    <mergeCell ref="A1:C1"/>
    <mergeCell ref="AO1:AQ1"/>
    <mergeCell ref="A134:E134"/>
    <mergeCell ref="A7:E7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2026-09-10T10:14:19Z</dcterms:created>
  <dcterms:modified xmlns:dcterms="http://purl.org/dc/terms/" xmlns:xsi="http://www.w3.org/2001/XMLSchema-instance" xsi:type="dcterms:W3CDTF">2026-09-10T10:14:20Z</dcterms:modified>
</cp:coreProperties>
</file>